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WACC" sheetId="3" state="visible" r:id="rId5"/>
    <sheet name="Model" sheetId="4" state="visible" r:id="rId6"/>
    <sheet name="DCF" sheetId="5" state="visible" r:id="rId7"/>
    <sheet name="Sensitivity" sheetId="6" state="visible" r:id="rId8"/>
    <sheet name="DDM" sheetId="7" state="visible" r:id="rId9"/>
    <sheet name="IS (reported)" sheetId="8" state="visible" r:id="rId10"/>
    <sheet name="BS (reported)" sheetId="9" state="visible" r:id="rId11"/>
    <sheet name="CF (reported)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<sst xmlns="http://schemas.openxmlformats.org/spreadsheetml/2006/main" count="166" uniqueCount="132">
  <si>
    <t xml:space="preserve">Meridian Industrials (illustrative) (DEMO)</t>
  </si>
  <si>
    <t xml:space="preserve">Industrials · Standard (FCFF-DCF led) · generated 2026-07-04 · data: DEMO (synthetic)</t>
  </si>
  <si>
    <t xml:space="preserve">Current price</t>
  </si>
  <si>
    <t xml:space="preserve">DCF value per share</t>
  </si>
  <si>
    <t xml:space="preserve">Upside / downside</t>
  </si>
  <si>
    <t xml:space="preserve">Blended fair value (report)</t>
  </si>
  <si>
    <t xml:space="preserve">WACC</t>
  </si>
  <si>
    <t xml:space="preserve">How to use</t>
  </si>
  <si>
    <t xml:space="preserve">Blue cells are inputs — edit growth, margins, beta, ERP or terminal g</t>
  </si>
  <si>
    <t xml:space="preserve">in the Assumptions sheet and everything recalculates live.</t>
  </si>
  <si>
    <t xml:space="preserve">Black cells are formulas; green cells link across sheets.</t>
  </si>
  <si>
    <t xml:space="preserve">The Sensitivity grid re-runs the full DCF per WACC/g pair.</t>
  </si>
  <si>
    <t xml:space="preserve">Not investment advice. Verify source data before relying on outputs.</t>
  </si>
  <si>
    <t xml:space="preserve">DEMO — Assumptions &amp; Drivers</t>
  </si>
  <si>
    <t xml:space="preserve">Blue cells are inputs — change them and the whole model recalculates. Source: DEMO (synthetic), retrieved 2026-07-04.</t>
  </si>
  <si>
    <t xml:space="preserve">Market data</t>
  </si>
  <si>
    <t xml:space="preserve">Share price (USD)</t>
  </si>
  <si>
    <t xml:space="preserve">Diluted shares (mn)</t>
  </si>
  <si>
    <t xml:space="preserve">Total debt (USDmm)</t>
  </si>
  <si>
    <t xml:space="preserve">Cash &amp; ST investments (USDmm)</t>
  </si>
  <si>
    <t xml:space="preserve">Minority interest (USDmm)</t>
  </si>
  <si>
    <t xml:space="preserve">Net debt (USDmm)</t>
  </si>
  <si>
    <t xml:space="preserve">Cost of capital inputs</t>
  </si>
  <si>
    <t xml:space="preserve">Risk-free rate (Rf)</t>
  </si>
  <si>
    <t xml:space="preserve">Equity risk premium (ERP)</t>
  </si>
  <si>
    <t xml:space="preserve">Country risk premium</t>
  </si>
  <si>
    <t xml:space="preserve">Size premium</t>
  </si>
  <si>
    <t xml:space="preserve">Beta (levered)</t>
  </si>
  <si>
    <t xml:space="preserve">Pre-tax cost of debt</t>
  </si>
  <si>
    <t xml:space="preserve">Tax rate</t>
  </si>
  <si>
    <t xml:space="preserve">Terminal assumptions</t>
  </si>
  <si>
    <t xml:space="preserve">Terminal growth (g)</t>
  </si>
  <si>
    <t xml:space="preserve">Per-year forecast drivers</t>
  </si>
  <si>
    <t xml:space="preserve">Driver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</si>
  <si>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</si>
  <si>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</si>
  <si>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</si>
  <si>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</si>
  <si>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</si>
  <si>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Revenue growth</t>
  </si>
  <si>
    <t xml:space="preserve">EBIT margin</t>
  </si>
  <si>
    <t xml:space="preserve">D&amp;A % of revenue</t>
  </si>
  <si>
    <t xml:space="preserve">Capex % of revenue</t>
  </si>
  <si>
    <t xml:space="preserve">ΔNWC % of Δrevenue</t>
  </si>
  <si>
    <t xml:space="preserve">Cost of capital (CAPM)</t>
  </si>
  <si>
    <t xml:space="preserve">All formulas reference the Assumptions sheet.</t>
  </si>
  <si>
    <t xml:space="preserve">Cost of equity (Ke = Rf + β·ERP + CRP + size)</t>
  </si>
  <si>
    <t xml:space="preserve">After-tax cost of debt (Kd·(1−t))</t>
  </si>
  <si>
    <t xml:space="preserve">Market value of equity (mm)</t>
  </si>
  <si>
    <t xml:space="preserve">Debt (book, mm)</t>
  </si>
  <si>
    <t xml:space="preserve">Weight of equity</t>
  </si>
  <si>
    <t xml:space="preserve">Weight of debt</t>
  </si>
  <si>
    <t xml:space="preserve">Operating model (USDmm)</t>
  </si>
  <si>
    <t xml:space="preserve">Shaded columns are reported actuals (blue hardcodes, sourced); unshaded are forecast formulas driven by the Assumptions sheet.</t>
  </si>
  <si>
    <t xml:space="preserve">Line item</t>
  </si>
  <si>
    <t xml:space="preserve">FY2022A</t>
  </si>
  <si>
    <t xml:space="preserve">FY2023A</t>
  </si>
  <si>
    <t xml:space="preserve">FY2024A</t>
  </si>
  <si>
    <t xml:space="preserve">FY2025A</t>
  </si>
  <si>
    <t xml:space="preserve">Revenue</t>
  </si>
  <si>
    <t xml:space="preserve">  growth %</t>
  </si>
  <si>
    <t xml:space="preserve">EBIT</t>
  </si>
  <si>
    <t xml:space="preserve">  EBIT margin %</t>
  </si>
  <si>
    <t xml:space="preserve">D&amp;A</t>
  </si>
  <si>
    <t xml:space="preserve">EBITDA</t>
  </si>
  <si>
    <t xml:space="preserve">NOPAT (EBIT×(1−t))</t>
  </si>
  <si>
    <t xml:space="preserve">Capex</t>
  </si>
  <si>
    <t xml:space="preserve">Δ Net working capital</t>
  </si>
  <si>
    <t xml:space="preserve">FCFF</t>
  </si>
  <si>
    <t xml:space="preserve">Discounted cash flow (USDmm)</t>
  </si>
  <si>
    <t xml:space="preserve">Mid-year convention. Terminal value is reinvestment-consistent: TV = NOPATn·(1+g)·(1−g/ROIC)/(WACC−g).</t>
  </si>
  <si>
    <t xml:space="preserve">Year</t>
  </si>
  <si>
    <t xml:space="preserve">FCFF (from Model)</t>
  </si>
  <si>
    <t xml:space="preserve">Period (mid-year, t−0.5)</t>
  </si>
  <si>
    <t xml:space="preserve">Discount factor</t>
  </si>
  <si>
    <t xml:space="preserve">PV of FCFF</t>
  </si>
  <si>
    <t xml:space="preserve">PV of explicit FCFF</t>
  </si>
  <si>
    <t xml:space="preserve">Terminal NOPAT (FYn)</t>
  </si>
  <si>
    <t xml:space="preserve">Invested capital (mm)</t>
  </si>
  <si>
    <t xml:space="preserve">Terminal invested capital (scaled w/ revenue)</t>
  </si>
  <si>
    <t xml:space="preserve">Terminal ROIC</t>
  </si>
  <si>
    <t xml:space="preserve">Terminal reinvestment rate (g/ROIC)</t>
  </si>
  <si>
    <t xml:space="preserve">Terminal value (Gordon)</t>
  </si>
  <si>
    <t xml:space="preserve">PV of terminal value</t>
  </si>
  <si>
    <t xml:space="preserve">TV as % of EV</t>
  </si>
  <si>
    <t xml:space="preserve">Enterprise value</t>
  </si>
  <si>
    <t xml:space="preserve">(−) Net debt</t>
  </si>
  <si>
    <t xml:space="preserve">(−) Minority interest</t>
  </si>
  <si>
    <t xml:space="preserve">Equity value</t>
  </si>
  <si>
    <t xml:space="preserve">Value per share</t>
  </si>
  <si>
    <t xml:space="preserve">Upside vs price</t>
  </si>
  <si>
    <t xml:space="preserve">Value per share — WACC × terminal growth (USD/share)</t>
  </si>
  <si>
    <t xml:space="preserve">Every cell is a live formula; it re-runs the full DCF at that WACC/g pair.</t>
  </si>
  <si>
    <t xml:space="preserve">WACC \ g</t>
  </si>
  <si>
    <t xml:space="preserve">Multi-stage dividend discount</t>
  </si>
  <si>
    <t xml:space="preserve">Dividends fade from the retention-implied growth to terminal g, at Ke.</t>
  </si>
  <si>
    <t xml:space="preserve">Current DPS (USD)</t>
  </si>
  <si>
    <t xml:space="preserve">Near-term dividend growth</t>
  </si>
  <si>
    <t xml:space="preserve">Terminal growth</t>
  </si>
  <si>
    <t xml:space="preserve">Cost of equity (Ke)</t>
  </si>
  <si>
    <t xml:space="preserve">Y1</t>
  </si>
  <si>
    <t xml:space="preserve">Y2</t>
  </si>
  <si>
    <t xml:space="preserve">Y3</t>
  </si>
  <si>
    <t xml:space="preserve">Y4</t>
  </si>
  <si>
    <t xml:space="preserve">Y5</t>
  </si>
  <si>
    <t xml:space="preserve">Y6</t>
  </si>
  <si>
    <t xml:space="preserve">Growth (fade)</t>
  </si>
  <si>
    <t xml:space="preserve">DPS</t>
  </si>
  <si>
    <t xml:space="preserve">PV of DPS</t>
  </si>
  <si>
    <t xml:space="preserve">PV explicit dividends</t>
  </si>
  <si>
    <t xml:space="preserve">PV terminal value</t>
  </si>
  <si>
    <t xml:space="preserve">DEMO — IS (reported)</t>
  </si>
  <si>
    <t xml:space="preserve">As reported by DEMO (synthetic) (USDmm). Hardcoded actuals.</t>
  </si>
  <si>
    <t xml:space="preserve">FY2020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</si>
  <si>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</si>
  <si>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</si>
  <si>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</si>
  <si>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</si>
  <si>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</si>
  <si>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EBIT (operating income)</t>
  </si>
  <si>
    <t xml:space="preserve">Interest expense</t>
  </si>
  <si>
    <t xml:space="preserve">Pre-tax income</t>
  </si>
  <si>
    <t xml:space="preserve">Tax expense</t>
  </si>
  <si>
    <t xml:space="preserve">Net income</t>
  </si>
  <si>
    <t xml:space="preserve">DEMO — BS (reported)</t>
  </si>
  <si>
    <t xml:space="preserve">Total debt</t>
  </si>
  <si>
    <t xml:space="preserve">Cash &amp; ST investments</t>
  </si>
  <si>
    <t xml:space="preserve">Total equity</t>
  </si>
  <si>
    <t xml:space="preserve">Minority interest</t>
  </si>
  <si>
    <t xml:space="preserve">DEMO — CF (reported)</t>
  </si>
  <si>
    <t xml:space="preserve">Operating cash flow</t>
  </si>
  <si>
    <t xml:space="preserve">Change in NWC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</si>
</sst>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0;\(#,##0.00\);\-"/>
    <numFmt numFmtId="166" formatCode="0.0%;\(0.0%\);\-"/>
    <numFmt numFmtId="167" formatCode="0.00%;\(0.00%\);\-"/>
    <numFmt numFmtId="168" formatCode="#,##0;\(#,##0\);\-"/>
    <numFmt numFmtId="169" formatCode="0.00"/>
    <numFmt numFmtId="170" formatCode="0.0"/>
    <numFmt numFmtId="171" formatCode="0.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B6F76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0F64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E1116"/>
        <bgColor rgb="FF000000"/>
      </patternFill>
    </fill>
    <fill>
      <patternFill patternType="solid">
        <fgColor rgb="FFF1F0E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double"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466"/>
      <rgbColor rgb="FFC0C0C0"/>
      <rgbColor rgb="FF808080"/>
      <rgbColor rgb="FF9999FF"/>
      <rgbColor rgb="FF993366"/>
      <rgbColor rgb="FFF1F0E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F76"/>
      <rgbColor rgb="FF969696"/>
      <rgbColor rgb="FF003366"/>
      <rgbColor rgb="FF339966"/>
      <rgbColor rgb="FF0E1116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f aca="false">Assumptions!$B$5</f>
        <v>182</v>
      </c>
    </row>
    <row r="5" customFormat="false" ht="15" hidden="false" customHeight="false" outlineLevel="0" collapsed="false">
      <c r="A5" s="3" t="s">
        <v>3</v>
      </c>
      <c r="B5" s="4" t="n">
        <f aca="false">DCF!$B$24</f>
        <v>220.176827241182</v>
      </c>
    </row>
    <row r="6" customFormat="false" ht="15" hidden="false" customHeight="false" outlineLevel="0" collapsed="false">
      <c r="A6" s="3" t="s">
        <v>4</v>
      </c>
      <c r="B6" s="5" t="n">
        <f aca="false">DCF!$B$24/Assumptions!$B$5-1</f>
        <v>0.209762787039461</v>
      </c>
    </row>
    <row r="7" customFormat="false" ht="15" hidden="false" customHeight="false" outlineLevel="0" collapsed="false">
      <c r="A7" s="3" t="s">
        <v>5</v>
      </c>
      <c r="B7" s="6" t="n">
        <v>182.975303920097</v>
      </c>
    </row>
    <row r="8" customFormat="false" ht="15" hidden="false" customHeight="false" outlineLevel="0" collapsed="false">
      <c r="A8" s="3" t="s">
        <v>6</v>
      </c>
      <c r="B8" s="7" t="n">
        <f aca="false">WACC!$B$10</f>
        <v>0.0922404822616408</v>
      </c>
    </row>
    <row r="10" customFormat="false" ht="15" hidden="false" customHeight="false" outlineLevel="0" collapsed="false">
      <c r="A10" s="8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1" min="2" style="0" width="12"/>
  </cols>
  <sheetData>
    <row r="1" customFormat="false" ht="17.35" hidden="false" customHeight="false" outlineLevel="0" collapsed="false">
      <c r="A1" s="1" t="s">
        <v>13</v>
      </c>
    </row>
    <row r="2" customFormat="false" ht="15" hidden="false" customHeight="false" outlineLevel="0" collapsed="false">
      <c r="A2" s="2" t="s">
        <v>14</v>
      </c>
    </row>
    <row r="4" customFormat="false" ht="15" hidden="false" customHeight="false" outlineLevel="0" collapsed="false">
      <c r="A4" s="8" t="s">
        <v>15</v>
      </c>
    </row>
    <row r="5" customFormat="false" ht="15" hidden="false" customHeight="false" outlineLevel="0" collapsed="false">
      <c r="A5" s="3" t="s">
        <v>16</v>
      </c>
      <c r="B5" s="6" t="n">
        <v>182</v>
      </c>
    </row>
    <row r="6" customFormat="false" ht="15" hidden="false" customHeight="false" outlineLevel="0" collapsed="false">
      <c r="A6" s="3" t="s">
        <v>17</v>
      </c>
      <c r="B6" s="9" t="n">
        <v>1520</v>
      </c>
    </row>
    <row r="7" customFormat="false" ht="15" hidden="false" customHeight="false" outlineLevel="0" collapsed="false">
      <c r="A7" s="3" t="s">
        <v>18</v>
      </c>
      <c r="B7" s="9" t="n">
        <v>12000</v>
      </c>
    </row>
    <row r="8" customFormat="false" ht="15" hidden="false" customHeight="false" outlineLevel="0" collapsed="false">
      <c r="A8" s="3" t="s">
        <v>19</v>
      </c>
      <c r="B8" s="9" t="n">
        <v>12500</v>
      </c>
    </row>
    <row r="9" customFormat="false" ht="15" hidden="false" customHeight="false" outlineLevel="0" collapsed="false">
      <c r="A9" s="3" t="s">
        <v>20</v>
      </c>
      <c r="B9" s="9" t="n">
        <v>300</v>
      </c>
    </row>
    <row r="10" customFormat="false" ht="15" hidden="false" customHeight="false" outlineLevel="0" collapsed="false">
      <c r="A10" s="3" t="s">
        <v>21</v>
      </c>
      <c r="B10" s="10" t="n">
        <f aca="false">Assumptions!$B$7-Assumptions!$B$8</f>
        <v>-500</v>
      </c>
    </row>
    <row r="12" customFormat="false" ht="15" hidden="false" customHeight="false" outlineLevel="0" collapsed="false">
      <c r="A12" s="8" t="s">
        <v>22</v>
      </c>
    </row>
    <row r="13" customFormat="false" ht="15" hidden="false" customHeight="false" outlineLevel="0" collapsed="false">
      <c r="A13" s="3" t="s">
        <v>23</v>
      </c>
      <c r="B13" s="11" t="n">
        <v>0.043</v>
      </c>
    </row>
    <row r="14" customFormat="false" ht="15" hidden="false" customHeight="false" outlineLevel="0" collapsed="false">
      <c r="A14" s="3" t="s">
        <v>24</v>
      </c>
      <c r="B14" s="11" t="n">
        <v>0.046</v>
      </c>
    </row>
    <row r="15" customFormat="false" ht="15" hidden="false" customHeight="false" outlineLevel="0" collapsed="false">
      <c r="A15" s="3" t="s">
        <v>25</v>
      </c>
      <c r="B15" s="12" t="n">
        <v>0</v>
      </c>
    </row>
    <row r="16" customFormat="false" ht="15" hidden="false" customHeight="false" outlineLevel="0" collapsed="false">
      <c r="A16" s="3" t="s">
        <v>26</v>
      </c>
      <c r="B16" s="12" t="n">
        <v>0</v>
      </c>
    </row>
    <row r="17" customFormat="false" ht="15" hidden="false" customHeight="false" outlineLevel="0" collapsed="false">
      <c r="A17" s="3" t="s">
        <v>27</v>
      </c>
      <c r="B17" s="13" t="n">
        <v>1.12</v>
      </c>
    </row>
    <row r="18" customFormat="false" ht="15" hidden="false" customHeight="false" outlineLevel="0" collapsed="false">
      <c r="A18" s="3" t="s">
        <v>28</v>
      </c>
      <c r="B18" s="12" t="n">
        <v>0.049</v>
      </c>
    </row>
    <row r="19" customFormat="false" ht="15" hidden="false" customHeight="false" outlineLevel="0" collapsed="false">
      <c r="A19" s="3" t="s">
        <v>29</v>
      </c>
      <c r="B19" s="14" t="n">
        <v>0.19</v>
      </c>
    </row>
    <row r="21" customFormat="false" ht="15" hidden="false" customHeight="false" outlineLevel="0" collapsed="false">
      <c r="A21" s="8" t="s">
        <v>30</v>
      </c>
    </row>
    <row r="22" customFormat="false" ht="15" hidden="false" customHeight="false" outlineLevel="0" collapsed="false">
      <c r="A22" s="3" t="s">
        <v>31</v>
      </c>
      <c r="B22" s="11" t="n">
        <v>0.025</v>
      </c>
    </row>
    <row r="24" customFormat="false" ht="15" hidden="false" customHeight="false" outlineLevel="0" collapsed="false">
      <c r="A24" s="8" t="s">
        <v>32</v>
      </c>
    </row>
    <row r="25" customFormat="false" ht="15" hidden="false" customHeight="false" outlineLevel="0" collapsed="false">
      <c r="A25" s="15" t="s">
        <v>33</v>
      </c>
      <c r="B25" s="16" t="s">
        <v>34</v>
      </c>
      <c r="C25" s="16" t="s">
        <v>35</v>
      </c>
      <c r="D25" s="16" t="s">
        <v>36</v>
      </c>
      <c r="E25" s="16" t="s">
        <v>37</v>
      </c>
      <c r="F25" s="16" t="s">
        <v>38</v>
      </c>
    </row>
    <row r="26" customFormat="false" ht="15" hidden="false" customHeight="false" outlineLevel="0" collapsed="false">
      <c r="A26" s="3" t="s">
        <v>39</v>
      </c>
      <c r="B26" s="14" t="n">
        <v>0.0747455058762903</v>
      </c>
      <c r="C26" s="14" t="n">
        <v>0.0623091294072177</v>
      </c>
      <c r="D26" s="14" t="n">
        <v>0.0498727529381451</v>
      </c>
      <c r="E26" s="14" t="n">
        <v>0.0374363764690726</v>
      </c>
      <c r="F26" s="14" t="n">
        <v>0.025</v>
      </c>
    </row>
    <row r="27" customFormat="false" ht="15" hidden="false" customHeight="false" outlineLevel="0" collapsed="false">
      <c r="A27" s="3" t="s">
        <v>40</v>
      </c>
      <c r="B27" s="14" t="n">
        <v>0.285</v>
      </c>
      <c r="C27" s="14" t="n">
        <v>0.28375</v>
      </c>
      <c r="D27" s="14" t="n">
        <v>0.2825</v>
      </c>
      <c r="E27" s="14" t="n">
        <v>0.28125</v>
      </c>
      <c r="F27" s="14" t="n">
        <v>0.28</v>
      </c>
    </row>
    <row r="28" customFormat="false" ht="15" hidden="false" customHeight="false" outlineLevel="0" collapsed="false">
      <c r="A28" s="3" t="s">
        <v>41</v>
      </c>
      <c r="B28" s="14" t="n">
        <v>0.052</v>
      </c>
      <c r="C28" s="14" t="n">
        <v>0.052</v>
      </c>
      <c r="D28" s="14" t="n">
        <v>0.052</v>
      </c>
      <c r="E28" s="14" t="n">
        <v>0.052</v>
      </c>
      <c r="F28" s="14" t="n">
        <v>0.052</v>
      </c>
    </row>
    <row r="29" customFormat="false" ht="15" hidden="false" customHeight="false" outlineLevel="0" collapsed="false">
      <c r="A29" s="3" t="s">
        <v>42</v>
      </c>
      <c r="B29" s="14" t="n">
        <v>0.048</v>
      </c>
      <c r="C29" s="14" t="n">
        <v>0.048</v>
      </c>
      <c r="D29" s="14" t="n">
        <v>0.048</v>
      </c>
      <c r="E29" s="14" t="n">
        <v>0.048</v>
      </c>
      <c r="F29" s="14" t="n">
        <v>0.048</v>
      </c>
    </row>
    <row r="30" customFormat="false" ht="15" hidden="false" customHeight="false" outlineLevel="0" collapsed="false">
      <c r="A30" s="3" t="s">
        <v>43</v>
      </c>
      <c r="B30" s="14" t="n">
        <v>0.164770562770563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15" hidden="false" customHeight="false" outlineLevel="0" collapsed="false">
      <c r="A4" s="3" t="s">
        <v>46</v>
      </c>
      <c r="B4" s="7" t="n">
        <f aca="false">Assumptions!$B$13+Assumptions!$B$17*Assumptions!$B$14+Assumptions!$B$15+Assumptions!$B$16</f>
        <v>0.09452</v>
      </c>
    </row>
    <row r="5" customFormat="false" ht="15" hidden="false" customHeight="false" outlineLevel="0" collapsed="false">
      <c r="A5" s="3" t="s">
        <v>47</v>
      </c>
      <c r="B5" s="7" t="n">
        <f aca="false">Assumptions!$B$18*(1-Assumptions!$B$19)</f>
        <v>0.03969</v>
      </c>
    </row>
    <row r="6" customFormat="false" ht="15" hidden="false" customHeight="false" outlineLevel="0" collapsed="false">
      <c r="A6" s="3" t="s">
        <v>48</v>
      </c>
      <c r="B6" s="17" t="n">
        <f aca="false">Assumptions!$B$5*Assumptions!$B$6</f>
        <v>276640</v>
      </c>
    </row>
    <row r="7" customFormat="false" ht="15" hidden="false" customHeight="false" outlineLevel="0" collapsed="false">
      <c r="A7" s="3" t="s">
        <v>49</v>
      </c>
      <c r="B7" s="17" t="n">
        <f aca="false">Assumptions!$B$7</f>
        <v>12000</v>
      </c>
    </row>
    <row r="8" customFormat="false" ht="15" hidden="false" customHeight="false" outlineLevel="0" collapsed="false">
      <c r="A8" s="3" t="s">
        <v>50</v>
      </c>
      <c r="B8" s="18" t="n">
        <f aca="false">WACC!$B$6/(WACC!$B$6+WACC!$B$7)</f>
        <v>0.958425720620843</v>
      </c>
    </row>
    <row r="9" customFormat="false" ht="15" hidden="false" customHeight="false" outlineLevel="0" collapsed="false">
      <c r="A9" s="3" t="s">
        <v>51</v>
      </c>
      <c r="B9" s="18" t="n">
        <f aca="false">1-WACC!$B$8</f>
        <v>0.0415742793791575</v>
      </c>
    </row>
    <row r="10" customFormat="false" ht="15" hidden="false" customHeight="false" outlineLevel="0" collapsed="false">
      <c r="A10" s="19" t="s">
        <v>6</v>
      </c>
      <c r="B10" s="20" t="n">
        <f aca="false">WACC!$B$8*WACC!$B$4+WACC!$B$9*WACC!$B$5</f>
        <v>0.0922404822616408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2"/>
  </cols>
  <sheetData>
    <row r="1" customFormat="false" ht="17.35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4" customFormat="false" ht="15" hidden="false" customHeight="false" outlineLevel="0" collapsed="false">
      <c r="A4" s="15" t="s">
        <v>54</v>
      </c>
      <c r="B4" s="16" t="s">
        <v>55</v>
      </c>
      <c r="C4" s="16" t="s">
        <v>56</v>
      </c>
      <c r="D4" s="16" t="s">
        <v>57</v>
      </c>
      <c r="E4" s="16" t="s">
        <v>58</v>
      </c>
      <c r="F4" s="16" t="s">
        <v>34</v>
      </c>
      <c r="G4" s="16" t="s">
        <v>35</v>
      </c>
      <c r="H4" s="16" t="s">
        <v>36</v>
      </c>
      <c r="I4" s="16" t="s">
        <v>37</v>
      </c>
      <c r="J4" s="16" t="s">
        <v>38</v>
      </c>
    </row>
    <row r="5" customFormat="false" ht="15" hidden="false" customHeight="false" outlineLevel="0" collapsed="false">
      <c r="A5" s="3" t="s">
        <v>59</v>
      </c>
      <c r="B5" s="21" t="n">
        <v>70174.2</v>
      </c>
      <c r="C5" s="21" t="n">
        <v>75086.394</v>
      </c>
      <c r="D5" s="21" t="n">
        <v>81093.30552</v>
      </c>
      <c r="E5" s="21" t="n">
        <v>85958.9038512</v>
      </c>
      <c r="F5" s="10" t="n">
        <f aca="false">E5*(1+Assumptions!B$26)</f>
        <v>92383.9456041294</v>
      </c>
      <c r="G5" s="10" t="n">
        <f aca="false">F5*(1+Assumptions!C$26)</f>
        <v>98140.3088259264</v>
      </c>
      <c r="H5" s="10" t="n">
        <f aca="false">G5*(1+Assumptions!D$26)</f>
        <v>103034.836201275</v>
      </c>
      <c r="I5" s="10" t="n">
        <f aca="false">H5*(1+Assumptions!E$26)</f>
        <v>106892.087118735</v>
      </c>
      <c r="J5" s="10" t="n">
        <f aca="false">I5*(1+Assumptions!F$26)</f>
        <v>109564.389296704</v>
      </c>
    </row>
    <row r="6" customFormat="false" ht="15" hidden="false" customHeight="false" outlineLevel="0" collapsed="false">
      <c r="A6" s="3" t="s">
        <v>60</v>
      </c>
      <c r="C6" s="22" t="n">
        <f aca="false">C5/B5-1</f>
        <v>0.0700000000000001</v>
      </c>
      <c r="D6" s="22" t="n">
        <f aca="false">D5/C5-1</f>
        <v>0.0799999999999999</v>
      </c>
      <c r="E6" s="22" t="n">
        <f aca="false">E5/D5-1</f>
        <v>0.0600000000000003</v>
      </c>
      <c r="F6" s="18" t="n">
        <f aca="false">F5/E5-1</f>
        <v>0.0747455058762903</v>
      </c>
      <c r="G6" s="18" t="n">
        <f aca="false">G5/F5-1</f>
        <v>0.0623091294072178</v>
      </c>
      <c r="H6" s="18" t="n">
        <f aca="false">H5/G5-1</f>
        <v>0.0498727529381451</v>
      </c>
      <c r="I6" s="18" t="n">
        <f aca="false">I5/H5-1</f>
        <v>0.0374363764690726</v>
      </c>
      <c r="J6" s="18" t="n">
        <f aca="false">J5/I5-1</f>
        <v>0.0249999999999999</v>
      </c>
    </row>
    <row r="7" customFormat="false" ht="15" hidden="false" customHeight="false" outlineLevel="0" collapsed="false">
      <c r="A7" s="3" t="s">
        <v>61</v>
      </c>
      <c r="B7" s="21" t="n">
        <v>18947.034</v>
      </c>
      <c r="C7" s="21" t="n">
        <v>20648.75835</v>
      </c>
      <c r="D7" s="21" t="n">
        <v>22706.1255456</v>
      </c>
      <c r="E7" s="21" t="n">
        <v>24498.287597592</v>
      </c>
      <c r="F7" s="10" t="n">
        <f aca="false">F5*Assumptions!B$27</f>
        <v>26329.4244971769</v>
      </c>
      <c r="G7" s="10" t="n">
        <f aca="false">G5*Assumptions!C$27</f>
        <v>27847.3126293566</v>
      </c>
      <c r="H7" s="10" t="n">
        <f aca="false">H5*Assumptions!D$27</f>
        <v>29107.3412268602</v>
      </c>
      <c r="I7" s="10" t="n">
        <f aca="false">I5*Assumptions!E$27</f>
        <v>30063.3995021443</v>
      </c>
      <c r="J7" s="10" t="n">
        <f aca="false">J5*Assumptions!F$27</f>
        <v>30678.029003077</v>
      </c>
    </row>
    <row r="8" customFormat="false" ht="15" hidden="false" customHeight="false" outlineLevel="0" collapsed="false">
      <c r="A8" s="3" t="s">
        <v>62</v>
      </c>
      <c r="B8" s="22" t="n">
        <f aca="false">B7/B5</f>
        <v>0.27</v>
      </c>
      <c r="C8" s="22" t="n">
        <f aca="false">C7/C5</f>
        <v>0.275</v>
      </c>
      <c r="D8" s="22" t="n">
        <f aca="false">D7/D5</f>
        <v>0.28</v>
      </c>
      <c r="E8" s="22" t="n">
        <f aca="false">E7/E5</f>
        <v>0.285</v>
      </c>
      <c r="F8" s="18" t="n">
        <f aca="false">F7/F5</f>
        <v>0.285</v>
      </c>
      <c r="G8" s="18" t="n">
        <f aca="false">G7/G5</f>
        <v>0.28375</v>
      </c>
      <c r="H8" s="18" t="n">
        <f aca="false">H7/H5</f>
        <v>0.2825</v>
      </c>
      <c r="I8" s="18" t="n">
        <f aca="false">I7/I5</f>
        <v>0.28125</v>
      </c>
      <c r="J8" s="18" t="n">
        <f aca="false">J7/J5</f>
        <v>0.28</v>
      </c>
    </row>
    <row r="9" customFormat="false" ht="15" hidden="false" customHeight="false" outlineLevel="0" collapsed="false">
      <c r="A9" s="3" t="s">
        <v>63</v>
      </c>
      <c r="B9" s="21" t="n">
        <v>3649.0584</v>
      </c>
      <c r="C9" s="21" t="n">
        <v>3904.492488</v>
      </c>
      <c r="D9" s="21" t="n">
        <v>4216.85188704</v>
      </c>
      <c r="E9" s="21" t="n">
        <v>4469.8630002624</v>
      </c>
      <c r="F9" s="10" t="n">
        <f aca="false">F5*Assumptions!B$28</f>
        <v>4803.96517141473</v>
      </c>
      <c r="G9" s="10" t="n">
        <f aca="false">G5*Assumptions!C$28</f>
        <v>5103.29605894817</v>
      </c>
      <c r="H9" s="10" t="n">
        <f aca="false">H5*Assumptions!D$28</f>
        <v>5357.81148246631</v>
      </c>
      <c r="I9" s="10" t="n">
        <f aca="false">I5*Assumptions!E$28</f>
        <v>5558.38853017423</v>
      </c>
      <c r="J9" s="10" t="n">
        <f aca="false">J5*Assumptions!F$28</f>
        <v>5697.34824342859</v>
      </c>
    </row>
    <row r="10" customFormat="false" ht="15" hidden="false" customHeight="false" outlineLevel="0" collapsed="false">
      <c r="A10" s="3" t="s">
        <v>64</v>
      </c>
      <c r="B10" s="23" t="n">
        <f aca="false">B7+B9</f>
        <v>22596.0924</v>
      </c>
      <c r="C10" s="23" t="n">
        <f aca="false">C7+C9</f>
        <v>24553.250838</v>
      </c>
      <c r="D10" s="23" t="n">
        <f aca="false">D7+D9</f>
        <v>26922.97743264</v>
      </c>
      <c r="E10" s="23" t="n">
        <f aca="false">E7+E9</f>
        <v>28968.1505978544</v>
      </c>
      <c r="F10" s="10" t="n">
        <f aca="false">F7+F9</f>
        <v>31133.3896685916</v>
      </c>
      <c r="G10" s="10" t="n">
        <f aca="false">G7+G9</f>
        <v>32950.6086883048</v>
      </c>
      <c r="H10" s="10" t="n">
        <f aca="false">H7+H9</f>
        <v>34465.1527093265</v>
      </c>
      <c r="I10" s="10" t="n">
        <f aca="false">I7+I9</f>
        <v>35621.7880323185</v>
      </c>
      <c r="J10" s="10" t="n">
        <f aca="false">J7+J9</f>
        <v>36375.3772465056</v>
      </c>
    </row>
    <row r="11" customFormat="false" ht="15" hidden="false" customHeight="false" outlineLevel="0" collapsed="false">
      <c r="A11" s="3" t="s">
        <v>65</v>
      </c>
      <c r="B11" s="24" t="n">
        <f aca="false">B7*(1-Assumptions!$B$19)</f>
        <v>15347.09754</v>
      </c>
      <c r="C11" s="24" t="n">
        <f aca="false">C7*(1-Assumptions!$B$19)</f>
        <v>16725.4942635</v>
      </c>
      <c r="D11" s="24" t="n">
        <f aca="false">D7*(1-Assumptions!$B$19)</f>
        <v>18391.961691936</v>
      </c>
      <c r="E11" s="24" t="n">
        <f aca="false">E7*(1-Assumptions!$B$19)</f>
        <v>19843.6129540495</v>
      </c>
      <c r="F11" s="17" t="n">
        <f aca="false">F7*(1-Assumptions!$B$19)</f>
        <v>21326.8338427133</v>
      </c>
      <c r="G11" s="17" t="n">
        <f aca="false">G7*(1-Assumptions!$B$19)</f>
        <v>22556.3232297789</v>
      </c>
      <c r="H11" s="17" t="n">
        <f aca="false">H7*(1-Assumptions!$B$19)</f>
        <v>23576.9463937568</v>
      </c>
      <c r="I11" s="17" t="n">
        <f aca="false">I7*(1-Assumptions!$B$19)</f>
        <v>24351.3535967369</v>
      </c>
      <c r="J11" s="17" t="n">
        <f aca="false">J7*(1-Assumptions!$B$19)</f>
        <v>24849.2034924924</v>
      </c>
    </row>
    <row r="12" customFormat="false" ht="15" hidden="false" customHeight="false" outlineLevel="0" collapsed="false">
      <c r="A12" s="3" t="s">
        <v>66</v>
      </c>
      <c r="B12" s="21" t="n">
        <v>3368.3616</v>
      </c>
      <c r="C12" s="21" t="n">
        <v>3604.146912</v>
      </c>
      <c r="D12" s="21" t="n">
        <v>3892.47866496</v>
      </c>
      <c r="E12" s="21" t="n">
        <v>4126.0273848576</v>
      </c>
      <c r="F12" s="10" t="n">
        <f aca="false">F5*Assumptions!B$29</f>
        <v>4434.42938899821</v>
      </c>
      <c r="G12" s="10" t="n">
        <f aca="false">G5*Assumptions!C$29</f>
        <v>4710.73482364447</v>
      </c>
      <c r="H12" s="10" t="n">
        <f aca="false">H5*Assumptions!D$29</f>
        <v>4945.67213766121</v>
      </c>
      <c r="I12" s="10" t="n">
        <f aca="false">I5*Assumptions!E$29</f>
        <v>5130.82018169929</v>
      </c>
      <c r="J12" s="10" t="n">
        <f aca="false">J5*Assumptions!F$29</f>
        <v>5259.09068624178</v>
      </c>
    </row>
    <row r="13" customFormat="false" ht="15" hidden="false" customHeight="false" outlineLevel="0" collapsed="false">
      <c r="A13" s="3" t="s">
        <v>67</v>
      </c>
      <c r="B13" s="21" t="n">
        <v>842.0904</v>
      </c>
      <c r="C13" s="21" t="n">
        <v>901.036728</v>
      </c>
      <c r="D13" s="21" t="n">
        <v>973.11966624</v>
      </c>
      <c r="E13" s="21" t="n">
        <v>1031.5068462144</v>
      </c>
      <c r="F13" s="10" t="n">
        <f aca="false">(F5-E5)*Assumptions!$B$30</f>
        <v>1058.65774545453</v>
      </c>
      <c r="G13" s="10" t="n">
        <f aca="false">(G5-F5)*Assumptions!$B$30</f>
        <v>948.47920756727</v>
      </c>
      <c r="H13" s="10" t="n">
        <f aca="false">(H5-G5)*Assumptions!$B$30</f>
        <v>806.474030132127</v>
      </c>
      <c r="I13" s="10" t="n">
        <f aca="false">(I5-H5)*Assumptions!$B$30</f>
        <v>635.561404417182</v>
      </c>
      <c r="J13" s="10" t="n">
        <f aca="false">(J5-I5)*Assumptions!$B$30</f>
        <v>440.31673375685</v>
      </c>
    </row>
    <row r="14" customFormat="false" ht="15" hidden="false" customHeight="false" outlineLevel="0" collapsed="false">
      <c r="A14" s="19" t="s">
        <v>68</v>
      </c>
      <c r="B14" s="25" t="n">
        <f aca="false">B11+B9-B12-B13</f>
        <v>14785.70394</v>
      </c>
      <c r="C14" s="25" t="n">
        <f aca="false">C11+C9-C12-C13</f>
        <v>16124.8031115</v>
      </c>
      <c r="D14" s="25" t="n">
        <f aca="false">D11+D9-D12-D13</f>
        <v>17743.215247776</v>
      </c>
      <c r="E14" s="25" t="n">
        <f aca="false">E11+E9-E12-E13</f>
        <v>19155.9417232399</v>
      </c>
      <c r="F14" s="26" t="n">
        <f aca="false">F11+F9-F12-F13</f>
        <v>20637.7118796752</v>
      </c>
      <c r="G14" s="26" t="n">
        <f aca="false">G11+G9-G12-G13</f>
        <v>22000.4052575153</v>
      </c>
      <c r="H14" s="26" t="n">
        <f aca="false">H11+H9-H12-H13</f>
        <v>23182.6117084297</v>
      </c>
      <c r="I14" s="26" t="n">
        <f aca="false">I11+I9-I12-I13</f>
        <v>24143.3605407946</v>
      </c>
      <c r="J14" s="26" t="n">
        <f aca="false">J11+J9-J12-J13</f>
        <v>24847.1443159224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7" min="2" style="0" width="12"/>
  </cols>
  <sheetData>
    <row r="1" customFormat="false" ht="17.35" hidden="false" customHeight="false" outlineLevel="0" collapsed="false">
      <c r="A1" s="1" t="s">
        <v>69</v>
      </c>
    </row>
    <row r="2" customFormat="false" ht="15" hidden="false" customHeight="false" outlineLevel="0" collapsed="false">
      <c r="A2" s="2" t="s">
        <v>70</v>
      </c>
    </row>
    <row r="4" customFormat="false" ht="15" hidden="false" customHeight="false" outlineLevel="0" collapsed="false">
      <c r="A4" s="15" t="s">
        <v>71</v>
      </c>
      <c r="B4" s="16" t="s">
        <v>34</v>
      </c>
      <c r="C4" s="16" t="s">
        <v>35</v>
      </c>
      <c r="D4" s="16" t="s">
        <v>36</v>
      </c>
      <c r="E4" s="16" t="s">
        <v>37</v>
      </c>
      <c r="F4" s="16" t="s">
        <v>38</v>
      </c>
    </row>
    <row r="5" customFormat="false" ht="15" hidden="false" customHeight="false" outlineLevel="0" collapsed="false">
      <c r="A5" s="3" t="s">
        <v>72</v>
      </c>
      <c r="B5" s="17" t="n">
        <f aca="false">Model!F14</f>
        <v>20637.7118796752</v>
      </c>
      <c r="C5" s="17" t="n">
        <f aca="false">Model!G14</f>
        <v>22000.4052575153</v>
      </c>
      <c r="D5" s="17" t="n">
        <f aca="false">Model!H14</f>
        <v>23182.6117084297</v>
      </c>
      <c r="E5" s="17" t="n">
        <f aca="false">Model!I14</f>
        <v>24143.3605407946</v>
      </c>
      <c r="F5" s="17" t="n">
        <f aca="false">Model!J14</f>
        <v>24847.1443159224</v>
      </c>
    </row>
    <row r="6" customFormat="false" ht="15" hidden="false" customHeight="false" outlineLevel="0" collapsed="false">
      <c r="A6" s="3" t="s">
        <v>73</v>
      </c>
      <c r="B6" s="27" t="n">
        <v>0.5</v>
      </c>
      <c r="C6" s="27" t="n">
        <v>1.5</v>
      </c>
      <c r="D6" s="27" t="n">
        <v>2.5</v>
      </c>
      <c r="E6" s="27" t="n">
        <v>3.5</v>
      </c>
      <c r="F6" s="27" t="n">
        <v>4.5</v>
      </c>
    </row>
    <row r="7" customFormat="false" ht="15" hidden="false" customHeight="false" outlineLevel="0" collapsed="false">
      <c r="A7" s="3" t="s">
        <v>74</v>
      </c>
      <c r="B7" s="28" t="n">
        <f aca="false">1/(1+WACC!$B$10)^B6</f>
        <v>0.95684339982617</v>
      </c>
      <c r="C7" s="28" t="n">
        <f aca="false">1/(1+WACC!$B$10)^C6</f>
        <v>0.87603729706565</v>
      </c>
      <c r="D7" s="28" t="n">
        <f aca="false">1/(1+WACC!$B$10)^D6</f>
        <v>0.802055326910873</v>
      </c>
      <c r="E7" s="28" t="n">
        <f aca="false">1/(1+WACC!$B$10)^E6</f>
        <v>0.734321186530371</v>
      </c>
      <c r="F7" s="28" t="n">
        <f aca="false">1/(1+WACC!$B$10)^F6</f>
        <v>0.672307242274938</v>
      </c>
    </row>
    <row r="8" customFormat="false" ht="15" hidden="false" customHeight="false" outlineLevel="0" collapsed="false">
      <c r="A8" s="3" t="s">
        <v>75</v>
      </c>
      <c r="B8" s="10" t="n">
        <f aca="false">B5*B7</f>
        <v>19747.0583995814</v>
      </c>
      <c r="C8" s="10" t="n">
        <f aca="false">C5*C7</f>
        <v>19273.1755561426</v>
      </c>
      <c r="D8" s="10" t="n">
        <f aca="false">D5*D7</f>
        <v>18593.7372124525</v>
      </c>
      <c r="E8" s="10" t="n">
        <f aca="false">E5*E7</f>
        <v>17728.9811591469</v>
      </c>
      <c r="F8" s="10" t="n">
        <f aca="false">F5*F7</f>
        <v>16704.9150734452</v>
      </c>
    </row>
    <row r="10" customFormat="false" ht="15" hidden="false" customHeight="false" outlineLevel="0" collapsed="false">
      <c r="A10" s="3" t="s">
        <v>76</v>
      </c>
      <c r="B10" s="10" t="n">
        <f aca="false">SUM(B8:F8)</f>
        <v>92047.8674007685</v>
      </c>
    </row>
    <row r="11" customFormat="false" ht="15" hidden="false" customHeight="false" outlineLevel="0" collapsed="false">
      <c r="A11" s="3" t="s">
        <v>77</v>
      </c>
      <c r="B11" s="17" t="n">
        <f aca="false">Model!J11</f>
        <v>24849.2034924924</v>
      </c>
    </row>
    <row r="12" customFormat="false" ht="15" hidden="false" customHeight="false" outlineLevel="0" collapsed="false">
      <c r="A12" s="3" t="s">
        <v>78</v>
      </c>
      <c r="B12" s="9" t="n">
        <v>37500</v>
      </c>
    </row>
    <row r="13" customFormat="false" ht="15" hidden="false" customHeight="false" outlineLevel="0" collapsed="false">
      <c r="A13" s="3" t="s">
        <v>79</v>
      </c>
      <c r="B13" s="17" t="n">
        <f aca="false">$B$12*Model!J5/Model!E5</f>
        <v>47798.0106137548</v>
      </c>
    </row>
    <row r="14" customFormat="false" ht="15" hidden="false" customHeight="false" outlineLevel="0" collapsed="false">
      <c r="A14" s="3" t="s">
        <v>80</v>
      </c>
      <c r="B14" s="18" t="n">
        <f aca="false">MAX($B$11/$B$13,WACC!$B$10)</f>
        <v>0.519879450492058</v>
      </c>
    </row>
    <row r="15" customFormat="false" ht="15" hidden="false" customHeight="false" outlineLevel="0" collapsed="false">
      <c r="A15" s="3" t="s">
        <v>81</v>
      </c>
      <c r="B15" s="29" t="n">
        <f aca="false">Assumptions!$B$22/$B$14</f>
        <v>0.0480880711409883</v>
      </c>
    </row>
    <row r="16" customFormat="false" ht="15" hidden="false" customHeight="false" outlineLevel="0" collapsed="false">
      <c r="A16" s="3" t="s">
        <v>82</v>
      </c>
      <c r="B16" s="10" t="n">
        <f aca="false">$B$11*(1+Assumptions!$B$22)*(1-$B$15)/(WACC!$B$10-Assumptions!$B$22)</f>
        <v>360580.542291244</v>
      </c>
    </row>
    <row r="17" customFormat="false" ht="15" hidden="false" customHeight="false" outlineLevel="0" collapsed="false">
      <c r="A17" s="3" t="s">
        <v>83</v>
      </c>
      <c r="B17" s="10" t="n">
        <f aca="false">$B$16/(1+WACC!$B$10)^(5-0.5)</f>
        <v>242420.910005828</v>
      </c>
    </row>
    <row r="18" customFormat="false" ht="15" hidden="false" customHeight="false" outlineLevel="0" collapsed="false">
      <c r="A18" s="3" t="s">
        <v>84</v>
      </c>
      <c r="B18" s="18" t="n">
        <f aca="false">$B$17/($B$10+$B$17)</f>
        <v>0.724793841402809</v>
      </c>
    </row>
    <row r="20" customFormat="false" ht="15" hidden="false" customHeight="false" outlineLevel="0" collapsed="false">
      <c r="A20" s="19" t="s">
        <v>85</v>
      </c>
      <c r="B20" s="26" t="n">
        <f aca="false">$B$10+$B$17</f>
        <v>334468.777406596</v>
      </c>
    </row>
    <row r="21" customFormat="false" ht="15" hidden="false" customHeight="false" outlineLevel="0" collapsed="false">
      <c r="A21" s="3" t="s">
        <v>86</v>
      </c>
      <c r="B21" s="17" t="n">
        <f aca="false">-Assumptions!$B$10</f>
        <v>500</v>
      </c>
    </row>
    <row r="22" customFormat="false" ht="15" hidden="false" customHeight="false" outlineLevel="0" collapsed="false">
      <c r="A22" s="3" t="s">
        <v>87</v>
      </c>
      <c r="B22" s="17" t="n">
        <f aca="false">-Assumptions!$B$9</f>
        <v>-300</v>
      </c>
    </row>
    <row r="23" customFormat="false" ht="15" hidden="false" customHeight="false" outlineLevel="0" collapsed="false">
      <c r="A23" s="19" t="s">
        <v>88</v>
      </c>
      <c r="B23" s="26" t="n">
        <f aca="false">$B$20-Assumptions!$B$10-Assumptions!$B$9</f>
        <v>334668.777406596</v>
      </c>
    </row>
    <row r="24" customFormat="false" ht="15" hidden="false" customHeight="false" outlineLevel="0" collapsed="false">
      <c r="A24" s="19" t="s">
        <v>89</v>
      </c>
      <c r="B24" s="30" t="n">
        <f aca="false">$B$23/Assumptions!$B$6</f>
        <v>220.176827241182</v>
      </c>
    </row>
    <row r="25" customFormat="false" ht="15" hidden="false" customHeight="false" outlineLevel="0" collapsed="false">
      <c r="A25" s="19" t="s">
        <v>90</v>
      </c>
      <c r="B25" s="31" t="n">
        <f aca="false">$B$24/Assumptions!$B$5-1</f>
        <v>0.209762787039461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6" min="2" style="0" width="11"/>
  </cols>
  <sheetData>
    <row r="1" customFormat="false" ht="17.35" hidden="false" customHeight="false" outlineLevel="0" collapsed="false">
      <c r="A1" s="1" t="s">
        <v>91</v>
      </c>
    </row>
    <row r="2" customFormat="false" ht="15" hidden="false" customHeight="false" outlineLevel="0" collapsed="false">
      <c r="A2" s="2" t="s">
        <v>92</v>
      </c>
    </row>
    <row r="4" customFormat="false" ht="15" hidden="false" customHeight="false" outlineLevel="0" collapsed="false">
      <c r="A4" s="19" t="s">
        <v>93</v>
      </c>
      <c r="B4" s="14" t="n">
        <v>0.015</v>
      </c>
      <c r="C4" s="14" t="n">
        <v>0.02</v>
      </c>
      <c r="D4" s="14" t="n">
        <v>0.025</v>
      </c>
      <c r="E4" s="14" t="n">
        <v>0.03</v>
      </c>
      <c r="F4" s="14" t="n">
        <v>0.035</v>
      </c>
    </row>
    <row r="5" customFormat="false" ht="15" hidden="false" customHeight="false" outlineLevel="0" collapsed="false">
      <c r="A5" s="12" t="n">
        <v>0.0772404822616408</v>
      </c>
      <c r="B5" s="32" t="n">
        <f aca="false">(SUMPRODUCT(DCF!$B$5:$F$5,1/(1+$A$5)^DCF!$B$6:$F$6)+DCF!$B$11*(1+B$4)*(1-B$4/DCF!$B$14)/($A$5-B$4)/(1+$A$5)^(5-0.5)-Assumptions!$B$10-Assumptions!$B$9)/Assumptions!$B$6</f>
        <v>248.001835968439</v>
      </c>
      <c r="C5" s="32" t="n">
        <f aca="false">(SUMPRODUCT(DCF!$B$5:$F$5,1/(1+$A$5)^DCF!$B$6:$F$6)+DCF!$B$11*(1+C$4)*(1-C$4/DCF!$B$14)/($A$5-C$4)/(1+$A$5)^(5-0.5)-Assumptions!$B$10-Assumptions!$B$9)/Assumptions!$B$6</f>
        <v>263.170528015815</v>
      </c>
      <c r="D5" s="32" t="n">
        <f aca="false">(SUMPRODUCT(DCF!$B$5:$F$5,1/(1+$A$5)^DCF!$B$6:$F$6)+DCF!$B$11*(1+D$4)*(1-D$4/DCF!$B$14)/($A$5-D$4)/(1+$A$5)^(5-0.5)-Assumptions!$B$10-Assumptions!$B$9)/Assumptions!$B$6</f>
        <v>281.221314068816</v>
      </c>
      <c r="E5" s="32" t="n">
        <f aca="false">(SUMPRODUCT(DCF!$B$5:$F$5,1/(1+$A$5)^DCF!$B$6:$F$6)+DCF!$B$11*(1+E$4)*(1-E$4/DCF!$B$14)/($A$5-E$4)/(1+$A$5)^(5-0.5)-Assumptions!$B$10-Assumptions!$B$9)/Assumptions!$B$6</f>
        <v>303.069328944335</v>
      </c>
      <c r="F5" s="32" t="n">
        <f aca="false">(SUMPRODUCT(DCF!$B$5:$F$5,1/(1+$A$5)^DCF!$B$6:$F$6)+DCF!$B$11*(1+F$4)*(1-F$4/DCF!$B$14)/($A$5-F$4)/(1+$A$5)^(5-0.5)-Assumptions!$B$10-Assumptions!$B$9)/Assumptions!$B$6</f>
        <v>330.063004982346</v>
      </c>
    </row>
    <row r="6" customFormat="false" ht="15" hidden="false" customHeight="false" outlineLevel="0" collapsed="false">
      <c r="A6" s="12" t="n">
        <v>0.0847404822616408</v>
      </c>
      <c r="B6" s="32" t="n">
        <f aca="false">(SUMPRODUCT(DCF!$B$5:$F$5,1/(1+$A$6)^DCF!$B$6:$F$6)+DCF!$B$11*(1+B$4)*(1-B$4/DCF!$B$14)/($A$6-B$4)/(1+$A$6)^(5-0.5)-Assumptions!$B$10-Assumptions!$B$9)/Assumptions!$B$6</f>
        <v>221.948476632587</v>
      </c>
      <c r="C6" s="32" t="n">
        <f aca="false">(SUMPRODUCT(DCF!$B$5:$F$5,1/(1+$A$6)^DCF!$B$6:$F$6)+DCF!$B$11*(1+C$4)*(1-C$4/DCF!$B$14)/($A$6-C$4)/(1+$A$6)^(5-0.5)-Assumptions!$B$10-Assumptions!$B$9)/Assumptions!$B$6</f>
        <v>233.456410704237</v>
      </c>
      <c r="D6" s="32" t="n">
        <f aca="false">(SUMPRODUCT(DCF!$B$5:$F$5,1/(1+$A$6)^DCF!$B$6:$F$6)+DCF!$B$11*(1+D$4)*(1-D$4/DCF!$B$14)/($A$6-D$4)/(1+$A$6)^(5-0.5)-Assumptions!$B$10-Assumptions!$B$9)/Assumptions!$B$6</f>
        <v>246.872414084615</v>
      </c>
      <c r="E6" s="32" t="n">
        <f aca="false">(SUMPRODUCT(DCF!$B$5:$F$5,1/(1+$A$6)^DCF!$B$6:$F$6)+DCF!$B$11*(1+E$4)*(1-E$4/DCF!$B$14)/($A$6-E$4)/(1+$A$6)^(5-0.5)-Assumptions!$B$10-Assumptions!$B$9)/Assumptions!$B$6</f>
        <v>262.7193363806</v>
      </c>
      <c r="F6" s="32" t="n">
        <f aca="false">(SUMPRODUCT(DCF!$B$5:$F$5,1/(1+$A$6)^DCF!$B$6:$F$6)+DCF!$B$11*(1+F$4)*(1-F$4/DCF!$B$14)/($A$6-F$4)/(1+$A$6)^(5-0.5)-Assumptions!$B$10-Assumptions!$B$9)/Assumptions!$B$6</f>
        <v>281.730258215383</v>
      </c>
    </row>
    <row r="7" customFormat="false" ht="15" hidden="false" customHeight="false" outlineLevel="0" collapsed="false">
      <c r="A7" s="12" t="n">
        <v>0.0922404822616408</v>
      </c>
      <c r="B7" s="32" t="n">
        <f aca="false">(SUMPRODUCT(DCF!$B$5:$F$5,1/(1+$A$7)^DCF!$B$6:$F$6)+DCF!$B$11*(1+B$4)*(1-B$4/DCF!$B$14)/($A$7-B$4)/(1+$A$7)^(5-0.5)-Assumptions!$B$10-Assumptions!$B$9)/Assumptions!$B$6</f>
        <v>200.952276490572</v>
      </c>
      <c r="C7" s="32" t="n">
        <f aca="false">(SUMPRODUCT(DCF!$B$5:$F$5,1/(1+$A$7)^DCF!$B$6:$F$6)+DCF!$B$11*(1+C$4)*(1-C$4/DCF!$B$14)/($A$7-C$4)/(1+$A$7)^(5-0.5)-Assumptions!$B$10-Assumptions!$B$9)/Assumptions!$B$6</f>
        <v>209.906571187345</v>
      </c>
      <c r="D7" s="32" t="n">
        <f aca="false">(SUMPRODUCT(DCF!$B$5:$F$5,1/(1+$A$7)^DCF!$B$6:$F$6)+DCF!$B$11*(1+D$4)*(1-D$4/DCF!$B$14)/($A$7-D$4)/(1+$A$7)^(5-0.5)-Assumptions!$B$10-Assumptions!$B$9)/Assumptions!$B$6</f>
        <v>220.176827241182</v>
      </c>
      <c r="E7" s="32" t="n">
        <f aca="false">(SUMPRODUCT(DCF!$B$5:$F$5,1/(1+$A$7)^DCF!$B$6:$F$6)+DCF!$B$11*(1+E$4)*(1-E$4/DCF!$B$14)/($A$7-E$4)/(1+$A$7)^(5-0.5)-Assumptions!$B$10-Assumptions!$B$9)/Assumptions!$B$6</f>
        <v>232.080192264678</v>
      </c>
      <c r="F7" s="32" t="n">
        <f aca="false">(SUMPRODUCT(DCF!$B$5:$F$5,1/(1+$A$7)^DCF!$B$6:$F$6)+DCF!$B$11*(1+F$4)*(1-F$4/DCF!$B$14)/($A$7-F$4)/(1+$A$7)^(5-0.5)-Assumptions!$B$10-Assumptions!$B$9)/Assumptions!$B$6</f>
        <v>246.044626218634</v>
      </c>
    </row>
    <row r="8" customFormat="false" ht="15" hidden="false" customHeight="false" outlineLevel="0" collapsed="false">
      <c r="A8" s="12" t="n">
        <v>0.0997404822616408</v>
      </c>
      <c r="B8" s="32" t="n">
        <f aca="false">(SUMPRODUCT(DCF!$B$5:$F$5,1/(1+$A$8)^DCF!$B$6:$F$6)+DCF!$B$11*(1+B$4)*(1-B$4/DCF!$B$14)/($A$8-B$4)/(1+$A$8)^(5-0.5)-Assumptions!$B$10-Assumptions!$B$9)/Assumptions!$B$6</f>
        <v>183.670563820811</v>
      </c>
      <c r="C8" s="32" t="n">
        <f aca="false">(SUMPRODUCT(DCF!$B$5:$F$5,1/(1+$A$8)^DCF!$B$6:$F$6)+DCF!$B$11*(1+C$4)*(1-C$4/DCF!$B$14)/($A$8-C$4)/(1+$A$8)^(5-0.5)-Assumptions!$B$10-Assumptions!$B$9)/Assumptions!$B$6</f>
        <v>190.781865394568</v>
      </c>
      <c r="D8" s="32" t="n">
        <f aca="false">(SUMPRODUCT(DCF!$B$5:$F$5,1/(1+$A$8)^DCF!$B$6:$F$6)+DCF!$B$11*(1+D$4)*(1-D$4/DCF!$B$14)/($A$8-D$4)/(1+$A$8)^(5-0.5)-Assumptions!$B$10-Assumptions!$B$9)/Assumptions!$B$6</f>
        <v>198.830918484891</v>
      </c>
      <c r="E8" s="32" t="n">
        <f aca="false">(SUMPRODUCT(DCF!$B$5:$F$5,1/(1+$A$8)^DCF!$B$6:$F$6)+DCF!$B$11*(1+E$4)*(1-E$4/DCF!$B$14)/($A$8-E$4)/(1+$A$8)^(5-0.5)-Assumptions!$B$10-Assumptions!$B$9)/Assumptions!$B$6</f>
        <v>208.019417606822</v>
      </c>
      <c r="F8" s="32" t="n">
        <f aca="false">(SUMPRODUCT(DCF!$B$5:$F$5,1/(1+$A$8)^DCF!$B$6:$F$6)+DCF!$B$11*(1+F$4)*(1-F$4/DCF!$B$14)/($A$8-F$4)/(1+$A$8)^(5-0.5)-Assumptions!$B$10-Assumptions!$B$9)/Assumptions!$B$6</f>
        <v>218.611365898381</v>
      </c>
    </row>
    <row r="9" customFormat="false" ht="15" hidden="false" customHeight="false" outlineLevel="0" collapsed="false">
      <c r="A9" s="12" t="n">
        <v>0.107240482261641</v>
      </c>
      <c r="B9" s="32" t="n">
        <f aca="false">(SUMPRODUCT(DCF!$B$5:$F$5,1/(1+$A$9)^DCF!$B$6:$F$6)+DCF!$B$11*(1+B$4)*(1-B$4/DCF!$B$14)/($A$9-B$4)/(1+$A$9)^(5-0.5)-Assumptions!$B$10-Assumptions!$B$9)/Assumptions!$B$6</f>
        <v>169.197348240476</v>
      </c>
      <c r="C9" s="32" t="n">
        <f aca="false">(SUMPRODUCT(DCF!$B$5:$F$5,1/(1+$A$9)^DCF!$B$6:$F$6)+DCF!$B$11*(1+C$4)*(1-C$4/DCF!$B$14)/($A$9-C$4)/(1+$A$9)^(5-0.5)-Assumptions!$B$10-Assumptions!$B$9)/Assumptions!$B$6</f>
        <v>174.941191138878</v>
      </c>
      <c r="D9" s="32" t="n">
        <f aca="false">(SUMPRODUCT(DCF!$B$5:$F$5,1/(1+$A$9)^DCF!$B$6:$F$6)+DCF!$B$11*(1+D$4)*(1-D$4/DCF!$B$14)/($A$9-D$4)/(1+$A$9)^(5-0.5)-Assumptions!$B$10-Assumptions!$B$9)/Assumptions!$B$6</f>
        <v>181.371366214423</v>
      </c>
      <c r="E9" s="32" t="n">
        <f aca="false">(SUMPRODUCT(DCF!$B$5:$F$5,1/(1+$A$9)^DCF!$B$6:$F$6)+DCF!$B$11*(1+E$4)*(1-E$4/DCF!$B$14)/($A$9-E$4)/(1+$A$9)^(5-0.5)-Assumptions!$B$10-Assumptions!$B$9)/Assumptions!$B$6</f>
        <v>188.621158272638</v>
      </c>
      <c r="F9" s="32" t="n">
        <f aca="false">(SUMPRODUCT(DCF!$B$5:$F$5,1/(1+$A$9)^DCF!$B$6:$F$6)+DCF!$B$11*(1+F$4)*(1-F$4/DCF!$B$14)/($A$9-F$4)/(1+$A$9)^(5-0.5)-Assumptions!$B$10-Assumptions!$B$9)/Assumptions!$B$6</f>
        <v>196.860752427951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</cols>
  <sheetData>
    <row r="1" customFormat="false" ht="17.35" hidden="false" customHeight="false" outlineLevel="0" collapsed="false">
      <c r="A1" s="1" t="s">
        <v>94</v>
      </c>
    </row>
    <row r="2" customFormat="false" ht="15" hidden="false" customHeight="false" outlineLevel="0" collapsed="false">
      <c r="A2" s="2" t="s">
        <v>95</v>
      </c>
    </row>
    <row r="4" customFormat="false" ht="15" hidden="false" customHeight="false" outlineLevel="0" collapsed="false">
      <c r="A4" s="3" t="s">
        <v>96</v>
      </c>
      <c r="B4" s="6" t="n">
        <v>2.4</v>
      </c>
    </row>
    <row r="5" customFormat="false" ht="15" hidden="false" customHeight="false" outlineLevel="0" collapsed="false">
      <c r="A5" s="3" t="s">
        <v>97</v>
      </c>
      <c r="B5" s="33" t="n">
        <v>0.06</v>
      </c>
    </row>
    <row r="6" customFormat="false" ht="15" hidden="false" customHeight="false" outlineLevel="0" collapsed="false">
      <c r="A6" s="3" t="s">
        <v>98</v>
      </c>
      <c r="B6" s="29" t="n">
        <f aca="false">Assumptions!$B$22</f>
        <v>0.025</v>
      </c>
    </row>
    <row r="7" customFormat="false" ht="15" hidden="false" customHeight="false" outlineLevel="0" collapsed="false">
      <c r="A7" s="3" t="s">
        <v>99</v>
      </c>
      <c r="B7" s="7" t="n">
        <f aca="false">WACC!$B$4</f>
        <v>0.09452</v>
      </c>
    </row>
    <row r="9" customFormat="false" ht="15" hidden="false" customHeight="false" outlineLevel="0" collapsed="false">
      <c r="A9" s="15" t="s">
        <v>71</v>
      </c>
      <c r="B9" s="16" t="s">
        <v>100</v>
      </c>
      <c r="C9" s="16" t="s">
        <v>101</v>
      </c>
      <c r="D9" s="16" t="s">
        <v>102</v>
      </c>
      <c r="E9" s="16" t="s">
        <v>103</v>
      </c>
      <c r="F9" s="16" t="s">
        <v>104</v>
      </c>
      <c r="G9" s="16" t="s">
        <v>105</v>
      </c>
    </row>
    <row r="10" customFormat="false" ht="15" hidden="false" customHeight="false" outlineLevel="0" collapsed="false">
      <c r="A10" s="3" t="s">
        <v>106</v>
      </c>
      <c r="B10" s="18" t="n">
        <f aca="false">$B$5+($B$6-$B$5)*0/5</f>
        <v>0.06</v>
      </c>
      <c r="C10" s="18" t="n">
        <f aca="false">$B$5+($B$6-$B$5)*1/5</f>
        <v>0.053</v>
      </c>
      <c r="D10" s="18" t="n">
        <f aca="false">$B$5+($B$6-$B$5)*2/5</f>
        <v>0.046</v>
      </c>
      <c r="E10" s="18" t="n">
        <f aca="false">$B$5+($B$6-$B$5)*3/5</f>
        <v>0.039</v>
      </c>
      <c r="F10" s="18" t="n">
        <f aca="false">$B$5+($B$6-$B$5)*4/5</f>
        <v>0.032</v>
      </c>
      <c r="G10" s="18" t="n">
        <f aca="false">$B$5+($B$6-$B$5)*5/5</f>
        <v>0.025</v>
      </c>
    </row>
    <row r="11" customFormat="false" ht="15" hidden="false" customHeight="false" outlineLevel="0" collapsed="false">
      <c r="A11" s="3" t="s">
        <v>107</v>
      </c>
      <c r="B11" s="32" t="n">
        <f aca="false">$B$4*(1+B10)</f>
        <v>2.544</v>
      </c>
      <c r="C11" s="32" t="n">
        <f aca="false">B11*(1+C10)</f>
        <v>2.678832</v>
      </c>
      <c r="D11" s="32" t="n">
        <f aca="false">C11*(1+D10)</f>
        <v>2.802058272</v>
      </c>
      <c r="E11" s="32" t="n">
        <f aca="false">D11*(1+E10)</f>
        <v>2.911338544608</v>
      </c>
      <c r="F11" s="32" t="n">
        <f aca="false">E11*(1+F10)</f>
        <v>3.00450137803546</v>
      </c>
      <c r="G11" s="32" t="n">
        <f aca="false">F11*(1+G10)</f>
        <v>3.07961391248634</v>
      </c>
    </row>
    <row r="12" customFormat="false" ht="15" hidden="false" customHeight="false" outlineLevel="0" collapsed="false">
      <c r="A12" s="3" t="s">
        <v>108</v>
      </c>
      <c r="B12" s="32" t="n">
        <f aca="false">B11/(1+$B$7)^1</f>
        <v>2.32430654533494</v>
      </c>
      <c r="C12" s="32" t="n">
        <f aca="false">C11/(1+$B$7)^2</f>
        <v>2.2361352850909</v>
      </c>
      <c r="D12" s="32" t="n">
        <f aca="false">D11/(1+$B$7)^3</f>
        <v>2.13700755418365</v>
      </c>
      <c r="E12" s="32" t="n">
        <f aca="false">E11/(1+$B$7)^4</f>
        <v>2.02860692248365</v>
      </c>
      <c r="F12" s="32" t="n">
        <f aca="false">F11/(1+$B$7)^5</f>
        <v>1.91273100902965</v>
      </c>
      <c r="G12" s="32" t="n">
        <f aca="false">G11/(1+$B$7)^6</f>
        <v>1.79124116896483</v>
      </c>
    </row>
    <row r="14" customFormat="false" ht="15" hidden="false" customHeight="false" outlineLevel="0" collapsed="false">
      <c r="A14" s="3" t="s">
        <v>109</v>
      </c>
      <c r="B14" s="32" t="n">
        <f aca="false">SUM(B12:G12)</f>
        <v>12.4300284850876</v>
      </c>
    </row>
    <row r="15" customFormat="false" ht="15" hidden="false" customHeight="false" outlineLevel="0" collapsed="false">
      <c r="A15" s="3" t="s">
        <v>110</v>
      </c>
      <c r="B15" s="32" t="n">
        <f aca="false">G11*(1+$B$6)/($B$7-$B$6)/(1+$B$7)^6</f>
        <v>26.4099855895994</v>
      </c>
    </row>
    <row r="16" customFormat="false" ht="15" hidden="false" customHeight="false" outlineLevel="0" collapsed="false">
      <c r="A16" s="19" t="s">
        <v>89</v>
      </c>
      <c r="B16" s="34" t="n">
        <f aca="false">$B$14+$B$15</f>
        <v>38.8400140746871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4" customFormat="false" ht="15" hidden="false" customHeight="false" outlineLevel="0" collapsed="false">
      <c r="A4" s="15" t="s">
        <v>54</v>
      </c>
      <c r="B4" s="16" t="s">
        <v>113</v>
      </c>
      <c r="C4" s="16" t="s">
        <v>114</v>
      </c>
      <c r="D4" s="16" t="s">
        <v>115</v>
      </c>
      <c r="E4" s="16" t="s">
        <v>116</v>
      </c>
      <c r="F4" s="16" t="s">
        <v>117</v>
      </c>
      <c r="G4" s="16" t="s">
        <v>118</v>
      </c>
    </row>
    <row r="5" customFormat="false" ht="15" hidden="false" customHeight="false" outlineLevel="0" collapsed="false">
      <c r="A5" s="3" t="s">
        <v>59</v>
      </c>
      <c r="B5" s="21" t="n">
        <v>58000</v>
      </c>
      <c r="C5" s="21" t="n">
        <v>64380</v>
      </c>
      <c r="D5" s="21" t="n">
        <v>70174.2</v>
      </c>
      <c r="E5" s="21" t="n">
        <v>75086.394</v>
      </c>
      <c r="F5" s="21" t="n">
        <v>81093.30552</v>
      </c>
      <c r="G5" s="21" t="n">
        <v>85958.9038512</v>
      </c>
    </row>
    <row r="6" customFormat="false" ht="15" hidden="false" customHeight="false" outlineLevel="0" collapsed="false">
      <c r="A6" s="3" t="s">
        <v>119</v>
      </c>
      <c r="B6" s="21" t="n">
        <v>15080</v>
      </c>
      <c r="C6" s="21" t="n">
        <v>17060.7</v>
      </c>
      <c r="D6" s="21" t="n">
        <v>18947.034</v>
      </c>
      <c r="E6" s="21" t="n">
        <v>20648.75835</v>
      </c>
      <c r="F6" s="21" t="n">
        <v>22706.1255456</v>
      </c>
      <c r="G6" s="21" t="n">
        <v>24498.287597592</v>
      </c>
    </row>
    <row r="7" customFormat="false" ht="15" hidden="false" customHeight="false" outlineLevel="0" collapsed="false">
      <c r="A7" s="3" t="s">
        <v>64</v>
      </c>
      <c r="B7" s="21" t="n">
        <v>18096</v>
      </c>
      <c r="C7" s="21" t="n">
        <v>20408.46</v>
      </c>
      <c r="D7" s="21" t="n">
        <v>22596.0924</v>
      </c>
      <c r="E7" s="21" t="n">
        <v>24553.250838</v>
      </c>
      <c r="F7" s="21" t="n">
        <v>26922.97743264</v>
      </c>
      <c r="G7" s="21" t="n">
        <v>28968.1505978544</v>
      </c>
    </row>
    <row r="8" customFormat="false" ht="15" hidden="false" customHeight="false" outlineLevel="0" collapsed="false">
      <c r="A8" s="3" t="s">
        <v>63</v>
      </c>
      <c r="B8" s="21" t="n">
        <v>3016</v>
      </c>
      <c r="C8" s="21" t="n">
        <v>3347.76</v>
      </c>
      <c r="D8" s="21" t="n">
        <v>3649.0584</v>
      </c>
      <c r="E8" s="21" t="n">
        <v>3904.492488</v>
      </c>
      <c r="F8" s="21" t="n">
        <v>4216.85188704</v>
      </c>
      <c r="G8" s="21" t="n">
        <v>4469.8630002624</v>
      </c>
    </row>
    <row r="9" customFormat="false" ht="15" hidden="false" customHeight="false" outlineLevel="0" collapsed="false">
      <c r="A9" s="3" t="s">
        <v>120</v>
      </c>
      <c r="B9" s="21" t="n">
        <v>550</v>
      </c>
      <c r="C9" s="21" t="n">
        <v>550</v>
      </c>
      <c r="D9" s="21" t="n">
        <v>550</v>
      </c>
      <c r="E9" s="21" t="n">
        <v>550</v>
      </c>
      <c r="F9" s="21" t="n">
        <v>550</v>
      </c>
      <c r="G9" s="21" t="n">
        <v>550</v>
      </c>
    </row>
    <row r="10" customFormat="false" ht="15" hidden="false" customHeight="false" outlineLevel="0" collapsed="false">
      <c r="A10" s="3" t="s">
        <v>121</v>
      </c>
      <c r="B10" s="21" t="n">
        <v>14730</v>
      </c>
      <c r="C10" s="21" t="n">
        <v>16710.7</v>
      </c>
      <c r="D10" s="21" t="n">
        <v>18597.034</v>
      </c>
      <c r="E10" s="21" t="n">
        <v>20298.75835</v>
      </c>
      <c r="F10" s="21" t="n">
        <v>22356.1255456</v>
      </c>
      <c r="G10" s="21" t="n">
        <v>24148.287597592</v>
      </c>
    </row>
    <row r="11" customFormat="false" ht="15" hidden="false" customHeight="false" outlineLevel="0" collapsed="false">
      <c r="A11" s="3" t="s">
        <v>122</v>
      </c>
      <c r="B11" s="21" t="n">
        <v>2798.7</v>
      </c>
      <c r="C11" s="21" t="n">
        <v>3175.033</v>
      </c>
      <c r="D11" s="21" t="n">
        <v>3533.43646</v>
      </c>
      <c r="E11" s="21" t="n">
        <v>3856.7640865</v>
      </c>
      <c r="F11" s="21" t="n">
        <v>4247.663853664</v>
      </c>
      <c r="G11" s="21" t="n">
        <v>4588.17464354248</v>
      </c>
    </row>
    <row r="12" customFormat="false" ht="15" hidden="false" customHeight="false" outlineLevel="0" collapsed="false">
      <c r="A12" s="3" t="s">
        <v>123</v>
      </c>
      <c r="B12" s="21" t="n">
        <v>11931.3</v>
      </c>
      <c r="C12" s="21" t="n">
        <v>13535.667</v>
      </c>
      <c r="D12" s="21" t="n">
        <v>15063.59754</v>
      </c>
      <c r="E12" s="21" t="n">
        <v>16441.9942635</v>
      </c>
      <c r="F12" s="21" t="n">
        <v>18108.461691936</v>
      </c>
      <c r="G12" s="21" t="n">
        <v>19560.1129540495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124</v>
      </c>
    </row>
    <row r="2" customFormat="false" ht="15" hidden="false" customHeight="false" outlineLevel="0" collapsed="false">
      <c r="A2" s="2" t="s">
        <v>112</v>
      </c>
    </row>
    <row r="4" customFormat="false" ht="15" hidden="false" customHeight="false" outlineLevel="0" collapsed="false">
      <c r="A4" s="15" t="s">
        <v>54</v>
      </c>
      <c r="B4" s="16" t="s">
        <v>113</v>
      </c>
      <c r="C4" s="16" t="s">
        <v>114</v>
      </c>
      <c r="D4" s="16" t="s">
        <v>115</v>
      </c>
      <c r="E4" s="16" t="s">
        <v>116</v>
      </c>
      <c r="F4" s="16" t="s">
        <v>117</v>
      </c>
      <c r="G4" s="16" t="s">
        <v>118</v>
      </c>
    </row>
    <row r="5" customFormat="false" ht="15" hidden="false" customHeight="false" outlineLevel="0" collapsed="false">
      <c r="A5" s="3" t="s">
        <v>125</v>
      </c>
      <c r="B5" s="21" t="n">
        <v>12000</v>
      </c>
      <c r="C5" s="21" t="n">
        <v>12000</v>
      </c>
      <c r="D5" s="21" t="n">
        <v>12000</v>
      </c>
      <c r="E5" s="21" t="n">
        <v>12000</v>
      </c>
      <c r="F5" s="21" t="n">
        <v>12000</v>
      </c>
      <c r="G5" s="21" t="n">
        <v>12000</v>
      </c>
    </row>
    <row r="6" customFormat="false" ht="15" hidden="false" customHeight="false" outlineLevel="0" collapsed="false">
      <c r="A6" s="3" t="s">
        <v>126</v>
      </c>
      <c r="B6" s="21" t="n">
        <v>9500</v>
      </c>
      <c r="C6" s="21" t="n">
        <v>10100</v>
      </c>
      <c r="D6" s="21" t="n">
        <v>10700</v>
      </c>
      <c r="E6" s="21" t="n">
        <v>11300</v>
      </c>
      <c r="F6" s="21" t="n">
        <v>11900</v>
      </c>
      <c r="G6" s="21" t="n">
        <v>12500</v>
      </c>
    </row>
    <row r="7" customFormat="false" ht="15" hidden="false" customHeight="false" outlineLevel="0" collapsed="false">
      <c r="A7" s="3" t="s">
        <v>127</v>
      </c>
      <c r="B7" s="21" t="n">
        <v>28000</v>
      </c>
      <c r="C7" s="21" t="n">
        <v>30000</v>
      </c>
      <c r="D7" s="21" t="n">
        <v>32000</v>
      </c>
      <c r="E7" s="21" t="n">
        <v>34000</v>
      </c>
      <c r="F7" s="21" t="n">
        <v>36000</v>
      </c>
      <c r="G7" s="21" t="n">
        <v>38000</v>
      </c>
    </row>
    <row r="8" customFormat="false" ht="15" hidden="false" customHeight="false" outlineLevel="0" collapsed="false">
      <c r="A8" s="3" t="s">
        <v>128</v>
      </c>
      <c r="B8" s="21" t="n">
        <v>300</v>
      </c>
      <c r="C8" s="21" t="n">
        <v>300</v>
      </c>
      <c r="D8" s="21" t="n">
        <v>300</v>
      </c>
      <c r="E8" s="21" t="n">
        <v>300</v>
      </c>
      <c r="F8" s="21" t="n">
        <v>300</v>
      </c>
      <c r="G8" s="21" t="n">
        <v>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112</v>
      </c>
    </row>
    <row r="4" customFormat="false" ht="15" hidden="false" customHeight="false" outlineLevel="0" collapsed="false">
      <c r="A4" s="15" t="s">
        <v>54</v>
      </c>
      <c r="B4" s="16" t="s">
        <v>113</v>
      </c>
      <c r="C4" s="16" t="s">
        <v>114</v>
      </c>
      <c r="D4" s="16" t="s">
        <v>115</v>
      </c>
      <c r="E4" s="16" t="s">
        <v>116</v>
      </c>
      <c r="F4" s="16" t="s">
        <v>117</v>
      </c>
      <c r="G4" s="16" t="s">
        <v>118</v>
      </c>
    </row>
    <row r="5" customFormat="false" ht="15" hidden="false" customHeight="false" outlineLevel="0" collapsed="false">
      <c r="A5" s="3" t="s">
        <v>130</v>
      </c>
      <c r="B5" s="21" t="n">
        <v>14947.3</v>
      </c>
      <c r="C5" s="21" t="n">
        <v>16883.427</v>
      </c>
      <c r="D5" s="21" t="n">
        <v>18712.65594</v>
      </c>
      <c r="E5" s="21" t="n">
        <v>20346.4867515</v>
      </c>
      <c r="F5" s="21" t="n">
        <v>22325.313578976</v>
      </c>
      <c r="G5" s="21" t="n">
        <v>24029.9759543119</v>
      </c>
    </row>
    <row r="6" customFormat="false" ht="15" hidden="false" customHeight="false" outlineLevel="0" collapsed="false">
      <c r="A6" s="3" t="s">
        <v>66</v>
      </c>
      <c r="B6" s="21" t="n">
        <v>2784</v>
      </c>
      <c r="C6" s="21" t="n">
        <v>3090.24</v>
      </c>
      <c r="D6" s="21" t="n">
        <v>3368.3616</v>
      </c>
      <c r="E6" s="21" t="n">
        <v>3604.146912</v>
      </c>
      <c r="F6" s="21" t="n">
        <v>3892.47866496</v>
      </c>
      <c r="G6" s="21" t="n">
        <v>4126.0273848576</v>
      </c>
    </row>
    <row r="7" customFormat="false" ht="15" hidden="false" customHeight="false" outlineLevel="0" collapsed="false">
      <c r="A7" s="3" t="s">
        <v>131</v>
      </c>
      <c r="B7" s="21" t="n">
        <v>696</v>
      </c>
      <c r="C7" s="21" t="n">
        <v>772.56</v>
      </c>
      <c r="D7" s="21" t="n">
        <v>842.0904</v>
      </c>
      <c r="E7" s="21" t="n">
        <v>901.036728</v>
      </c>
      <c r="F7" s="21" t="n">
        <v>973.11966624</v>
      </c>
      <c r="G7" s="21" t="n">
        <v>1031.5068462144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2026-07-04T16:33:39Z</dcterms:created>
  <dc:creator>openpyxl</dc:creator>
  <dc:description/>
  <dc:language>en-US</dc:language>
  <cp:lastModifiedBy/>
  <dcterms:modified xsi:type="dcterms:W3CDTF">2026-07-04T16:33:39Z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