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IS (reported)" sheetId="10" state="visible" r:id="rId10"/>
    <sheet xmlns:r="http://schemas.openxmlformats.org/officeDocument/2006/relationships" name="BS (reported)" sheetId="11" state="visible" r:id="rId11"/>
    <sheet xmlns:r="http://schemas.openxmlformats.org/officeDocument/2006/relationships" name="CF (reported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  <numFmt numFmtId="170" formatCode="0.0&quot;x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4" fillId="0" borderId="0" pivotButton="0" quotePrefix="0" xfId="0"/>
    <xf numFmtId="165" fontId="11" fillId="0" borderId="2" pivotButton="0" quotePrefix="0" xfId="0"/>
    <xf numFmtId="165" fontId="5" fillId="0" borderId="0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  <xf numFmtId="170" fontId="5" fillId="0" borderId="0" pivotButton="0" quotePrefix="0" xfId="0"/>
    <xf numFmtId="170" fontId="9" fillId="0" borderId="2" pivotButton="0" quotePrefix="0" xfId="0"/>
    <xf numFmtId="17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Meridian Industrials (illustrative) (DEMO)</t>
        </is>
      </c>
    </row>
    <row r="2">
      <c r="A2" s="2" t="inlineStr">
        <is>
          <t>Industrials · Standard (forward multiples + DCF) · generated 2026-10-13 · data: DEMO (synthetic)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294.2009389878127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DEMO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230.2679444300176</v>
      </c>
      <c r="D5" s="6" t="n">
        <v>195.7932446575796</v>
      </c>
      <c r="E5" s="6" t="n">
        <v>270.3739636759826</v>
      </c>
      <c r="F5" s="11" t="n">
        <v>0.3888888888888889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299.2740923153946</v>
      </c>
      <c r="D6" s="6" t="n">
        <v>245.4047556986235</v>
      </c>
      <c r="E6" s="6" t="n">
        <v>353.1434289321656</v>
      </c>
      <c r="F6" s="11" t="n">
        <v>0.3333333333333334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308.7672151725392</v>
      </c>
      <c r="D7" s="6" t="n">
        <v>253.2128006520085</v>
      </c>
      <c r="E7" s="6" t="n">
        <v>364.32162969307</v>
      </c>
      <c r="F7" s="11" t="n">
        <v>0.2777777777777778</v>
      </c>
      <c r="G7" s="2" t="inlineStr">
        <is>
          <t>ok</t>
        </is>
      </c>
    </row>
    <row r="9">
      <c r="A9" s="3" t="inlineStr">
        <is>
          <t>Weights sum</t>
        </is>
      </c>
      <c r="B9" s="12">
        <f>SUM(F5:F7)</f>
        <v/>
      </c>
    </row>
    <row r="10">
      <c r="A10" s="13" t="inlineStr">
        <is>
          <t>Blended fair value (today)</t>
        </is>
      </c>
      <c r="B10" s="14">
        <f>SUMPRODUCT(C5:C7,F5:F7)/SUM(F5:F7)</f>
        <v/>
      </c>
    </row>
    <row r="11">
      <c r="A11" s="3" t="inlineStr">
        <is>
          <t>Cost of equity (Ke)</t>
        </is>
      </c>
      <c r="B11" s="15" t="n">
        <v>0.09258863852952992</v>
      </c>
    </row>
    <row r="12">
      <c r="A12" s="3" t="inlineStr">
        <is>
          <t>Dividends per share (12m)</t>
        </is>
      </c>
      <c r="B12" s="6" t="n">
        <v>2.4</v>
      </c>
    </row>
    <row r="13">
      <c r="A13" s="3" t="inlineStr">
        <is>
          <t>Model 12-month target = FV×(1+Ke)−DPS</t>
        </is>
      </c>
      <c r="B13" s="16">
        <f>$B$10*(1+$B$11)-$B$12</f>
        <v/>
      </c>
    </row>
    <row r="14">
      <c r="A14" s="3" t="inlineStr">
        <is>
          <t>Street mean target</t>
        </is>
      </c>
      <c r="B14" s="6" t="n">
        <v>285</v>
      </c>
    </row>
    <row r="15">
      <c r="A15" s="3" t="inlineStr">
        <is>
          <t>Street weight in target</t>
        </is>
      </c>
      <c r="B15" s="11" t="n">
        <v>0.3</v>
      </c>
    </row>
    <row r="16">
      <c r="A16" s="13" t="inlineStr">
        <is>
          <t>Published 12-month target</t>
        </is>
      </c>
      <c r="B16" s="17">
        <f>(1-$B$15)*$B$13+$B$15*$B$14</f>
        <v/>
      </c>
    </row>
    <row r="17">
      <c r="A17" s="3" t="inlineStr">
        <is>
          <t>Current price</t>
        </is>
      </c>
      <c r="B17" s="6" t="n">
        <v>262</v>
      </c>
    </row>
    <row r="18">
      <c r="A18" s="3" t="inlineStr">
        <is>
          <t>Engine target (incl. plausibility band)</t>
        </is>
      </c>
      <c r="B18" s="6" t="n">
        <v>294.2009389878127</v>
      </c>
    </row>
    <row r="20">
      <c r="A20" s="8" t="inlineStr">
        <is>
          <t>Guardrails</t>
        </is>
      </c>
    </row>
    <row r="21">
      <c r="A21" s="2" t="inlineStr">
        <is>
          <t>Target anchored 30% to the Street consensus ($285.00, 24 analysts); model-only target $298.14.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DEMO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91976.02712078404</v>
      </c>
      <c r="C5" s="18" t="n">
        <v>97242.50107360962</v>
      </c>
      <c r="D5" s="18" t="n">
        <v>101922.3637284257</v>
      </c>
      <c r="E5" s="18" t="n">
        <v>106160.1062143977</v>
      </c>
      <c r="F5" s="18" t="n">
        <v>110075.7571630058</v>
      </c>
      <c r="G5" s="18" t="n">
        <v>113765.450065953</v>
      </c>
      <c r="H5" s="18" t="n">
        <v>117304.4019366943</v>
      </c>
      <c r="I5" s="18" t="n">
        <v>120750.5996737408</v>
      </c>
      <c r="J5" s="18" t="n">
        <v>124148.3572415785</v>
      </c>
      <c r="K5" s="18" t="n">
        <v>127252.0661726179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0.2869081058999161</v>
      </c>
      <c r="C7" s="11" t="n">
        <v>0.2862906156470625</v>
      </c>
      <c r="D7" s="11" t="n">
        <v>0.285673125394209</v>
      </c>
      <c r="E7" s="11" t="n">
        <v>0.2850556351413554</v>
      </c>
      <c r="F7" s="11" t="n">
        <v>0.2844381448885019</v>
      </c>
      <c r="G7" s="11" t="n">
        <v>0.2838206546356483</v>
      </c>
      <c r="H7" s="11" t="n">
        <v>0.2832031643827948</v>
      </c>
      <c r="I7" s="11" t="n">
        <v>0.2825856741299412</v>
      </c>
      <c r="J7" s="11" t="n">
        <v>0.2825856741299412</v>
      </c>
      <c r="K7" s="11" t="n">
        <v>0.2825856741299412</v>
      </c>
    </row>
    <row r="8">
      <c r="A8" s="3" t="inlineStr">
        <is>
          <t>EBIT (mn)</t>
        </is>
      </c>
      <c r="B8" s="18">
        <f>B5*B7</f>
        <v/>
      </c>
      <c r="C8" s="18">
        <f>C5*C7</f>
        <v/>
      </c>
      <c r="D8" s="18">
        <f>D5*D7</f>
        <v/>
      </c>
      <c r="E8" s="18">
        <f>E5*E7</f>
        <v/>
      </c>
      <c r="F8" s="18">
        <f>F5*F7</f>
        <v/>
      </c>
      <c r="G8" s="18">
        <f>G5*G7</f>
        <v/>
      </c>
      <c r="H8" s="18">
        <f>H5*H7</f>
        <v/>
      </c>
      <c r="I8" s="18">
        <f>I5*I7</f>
        <v/>
      </c>
      <c r="J8" s="18">
        <f>J5*J7</f>
        <v/>
      </c>
      <c r="K8" s="18">
        <f>K5*K7</f>
        <v/>
      </c>
    </row>
    <row r="9">
      <c r="A9" s="3" t="inlineStr">
        <is>
          <t>Net income (mn)</t>
        </is>
      </c>
      <c r="B9" s="18" t="n">
        <v>20929.320860833</v>
      </c>
      <c r="C9" s="18" t="n">
        <v>22104.5885545333</v>
      </c>
      <c r="D9" s="18" t="n">
        <v>23138.84895703044</v>
      </c>
      <c r="E9" s="18" t="n">
        <v>24066.3445679313</v>
      </c>
      <c r="F9" s="18" t="n">
        <v>24915.3927733605</v>
      </c>
      <c r="G9" s="18" t="n">
        <v>25708.57745523674</v>
      </c>
      <c r="H9" s="18" t="n">
        <v>26463.49203784749</v>
      </c>
      <c r="I9" s="18" t="n">
        <v>27193.63558442294</v>
      </c>
      <c r="J9" s="18" t="n">
        <v>27971.36325082134</v>
      </c>
      <c r="K9" s="18" t="n">
        <v>28681.78483209187</v>
      </c>
    </row>
    <row r="10">
      <c r="A10" s="3" t="inlineStr">
        <is>
          <t>EPS</t>
        </is>
      </c>
      <c r="B10" s="16">
        <f>B9*1000000/1520000000.0</f>
        <v/>
      </c>
      <c r="C10" s="16">
        <f>C9*1000000/1520000000.0</f>
        <v/>
      </c>
      <c r="D10" s="16">
        <f>D9*1000000/1520000000.0</f>
        <v/>
      </c>
      <c r="E10" s="16">
        <f>E9*1000000/1520000000.0</f>
        <v/>
      </c>
      <c r="F10" s="16">
        <f>F9*1000000/1520000000.0</f>
        <v/>
      </c>
      <c r="G10" s="16">
        <f>G9*1000000/1520000000.0</f>
        <v/>
      </c>
      <c r="H10" s="16">
        <f>H9*1000000/1520000000.0</f>
        <v/>
      </c>
      <c r="I10" s="16">
        <f>I9*1000000/1520000000.0</f>
        <v/>
      </c>
      <c r="J10" s="16">
        <f>J9*1000000/1520000000.0</f>
        <v/>
      </c>
      <c r="K10" s="16">
        <f>K9*1000000/1520000000.0</f>
        <v/>
      </c>
    </row>
    <row r="12">
      <c r="A12" s="13" t="inlineStr">
        <is>
          <t>Levered FCF (mn)</t>
        </is>
      </c>
      <c r="B12" s="19" t="n">
        <v>20305.78018192693</v>
      </c>
      <c r="C12" s="19" t="n">
        <v>21526.39523626225</v>
      </c>
      <c r="D12" s="19" t="n">
        <v>22567.06019833192</v>
      </c>
      <c r="E12" s="19" t="n">
        <v>23467.17211944108</v>
      </c>
      <c r="F12" s="19" t="n">
        <v>24260.42425119743</v>
      </c>
      <c r="G12" s="19" t="n">
        <v>24974.21862353873</v>
      </c>
      <c r="H12" s="19" t="n">
        <v>25630.12755568923</v>
      </c>
      <c r="I12" s="19" t="n">
        <v>26244.76841823402</v>
      </c>
      <c r="J12" s="19" t="n">
        <v>26892.84857617929</v>
      </c>
      <c r="K12" s="19" t="n">
        <v>27508.67422075087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DEMO — Assumptions &amp; Drivers</t>
        </is>
      </c>
    </row>
    <row r="2">
      <c r="A2" s="2" t="inlineStr">
        <is>
          <t>Blue cells are inputs — change them and the whole model recalculates. Source: DEMO (synthetic),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262</v>
      </c>
    </row>
    <row r="6">
      <c r="A6" s="3" t="inlineStr">
        <is>
          <t>Diluted shares (mn)</t>
        </is>
      </c>
      <c r="B6" s="20" t="n">
        <v>1520</v>
      </c>
    </row>
    <row r="7">
      <c r="A7" s="3" t="inlineStr">
        <is>
          <t>Total debt (USDmm)</t>
        </is>
      </c>
      <c r="B7" s="20" t="n">
        <v>12000</v>
      </c>
    </row>
    <row r="8">
      <c r="A8" s="3" t="inlineStr">
        <is>
          <t>Cash &amp; ST investments (USDmm)</t>
        </is>
      </c>
      <c r="B8" s="20" t="n">
        <v>12500</v>
      </c>
    </row>
    <row r="9">
      <c r="A9" s="3" t="inlineStr">
        <is>
          <t>Minority interest (USDmm)</t>
        </is>
      </c>
      <c r="B9" s="20" t="n">
        <v>300</v>
      </c>
    </row>
    <row r="10">
      <c r="A10" s="3" t="inlineStr">
        <is>
          <t>Net debt (USDmm)</t>
        </is>
      </c>
      <c r="B10" s="18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1.08</v>
      </c>
    </row>
    <row r="18">
      <c r="A18" s="3" t="inlineStr">
        <is>
          <t>Pre-tax cost of debt</t>
        </is>
      </c>
      <c r="B18" s="15" t="n">
        <v>0.04899999999999999</v>
      </c>
    </row>
    <row r="19">
      <c r="A19" s="3" t="inlineStr">
        <is>
          <t>Tax rate</t>
        </is>
      </c>
      <c r="B19" s="11" t="n">
        <v>0.19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0.07000000000000006</v>
      </c>
      <c r="C26" s="11" t="n">
        <v>0.05725920239965994</v>
      </c>
      <c r="D26" s="11" t="n">
        <v>0.04812569198804942</v>
      </c>
      <c r="E26" s="11" t="n">
        <v>0.04157814174388176</v>
      </c>
      <c r="F26" s="11" t="n">
        <v>0.03688439177613628</v>
      </c>
      <c r="G26" s="11" t="n">
        <v>0.03351957777118297</v>
      </c>
      <c r="H26" s="11" t="n">
        <v>0.03110743963733855</v>
      </c>
      <c r="I26" s="11" t="n">
        <v>0.02937824736454688</v>
      </c>
      <c r="J26" s="11" t="n">
        <v>0.02813863928641545</v>
      </c>
      <c r="K26" s="11" t="n">
        <v>0.025</v>
      </c>
    </row>
    <row r="27">
      <c r="A27" s="3" t="inlineStr">
        <is>
          <t>EBIT margin</t>
        </is>
      </c>
      <c r="B27" s="11" t="n">
        <v>0.2869081058999161</v>
      </c>
      <c r="C27" s="11" t="n">
        <v>0.2862906156470625</v>
      </c>
      <c r="D27" s="11" t="n">
        <v>0.285673125394209</v>
      </c>
      <c r="E27" s="11" t="n">
        <v>0.2850556351413554</v>
      </c>
      <c r="F27" s="11" t="n">
        <v>0.2844381448885019</v>
      </c>
      <c r="G27" s="11" t="n">
        <v>0.2838206546356483</v>
      </c>
      <c r="H27" s="11" t="n">
        <v>0.2832031643827948</v>
      </c>
      <c r="I27" s="11" t="n">
        <v>0.2825856741299412</v>
      </c>
      <c r="J27" s="11" t="n">
        <v>0.2825856741299412</v>
      </c>
      <c r="K27" s="11" t="n">
        <v>0.2825856741299412</v>
      </c>
    </row>
    <row r="28">
      <c r="A28" s="3" t="inlineStr">
        <is>
          <t>D&amp;A % of revenue</t>
        </is>
      </c>
      <c r="B28" s="11" t="n">
        <v>0.052</v>
      </c>
      <c r="C28" s="11" t="n">
        <v>0.052</v>
      </c>
      <c r="D28" s="11" t="n">
        <v>0.052</v>
      </c>
      <c r="E28" s="11" t="n">
        <v>0.052</v>
      </c>
      <c r="F28" s="11" t="n">
        <v>0.052</v>
      </c>
      <c r="G28" s="11" t="n">
        <v>0.052</v>
      </c>
      <c r="H28" s="11" t="n">
        <v>0.052</v>
      </c>
      <c r="I28" s="11" t="n">
        <v>0.052</v>
      </c>
      <c r="J28" s="11" t="n">
        <v>0.052</v>
      </c>
      <c r="K28" s="11" t="n">
        <v>0.052</v>
      </c>
    </row>
    <row r="29">
      <c r="A29" s="3" t="inlineStr">
        <is>
          <t>Capex % of revenue</t>
        </is>
      </c>
      <c r="B29" s="11" t="n">
        <v>0.04800000000000001</v>
      </c>
      <c r="C29" s="11" t="n">
        <v>0.04902222222222223</v>
      </c>
      <c r="D29" s="11" t="n">
        <v>0.05004444444444445</v>
      </c>
      <c r="E29" s="11" t="n">
        <v>0.05106666666666667</v>
      </c>
      <c r="F29" s="11" t="n">
        <v>0.05208888888888889</v>
      </c>
      <c r="G29" s="11" t="n">
        <v>0.05311111111111112</v>
      </c>
      <c r="H29" s="11" t="n">
        <v>0.05413333333333334</v>
      </c>
      <c r="I29" s="11" t="n">
        <v>0.05515555555555555</v>
      </c>
      <c r="J29" s="11" t="n">
        <v>0.05617777777777778</v>
      </c>
      <c r="K29" s="11" t="n">
        <v>0.0572</v>
      </c>
    </row>
    <row r="30">
      <c r="A30" s="3" t="inlineStr">
        <is>
          <t>ΔNWC % of Δrevenue</t>
        </is>
      </c>
      <c r="B30" s="11" t="n">
        <v>0.1647705627705626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70174.20000000001</v>
      </c>
      <c r="C5" s="25" t="n">
        <v>75086.39400000001</v>
      </c>
      <c r="D5" s="25" t="n">
        <v>81093.30552000001</v>
      </c>
      <c r="E5" s="25" t="n">
        <v>85958.90385120003</v>
      </c>
      <c r="F5" s="18">
        <f>E5*(1+Assumptions!B$26)</f>
        <v/>
      </c>
      <c r="G5" s="18">
        <f>F5*(1+Assumptions!C$26)</f>
        <v/>
      </c>
      <c r="H5" s="18">
        <f>G5*(1+Assumptions!D$26)</f>
        <v/>
      </c>
      <c r="I5" s="18">
        <f>H5*(1+Assumptions!E$26)</f>
        <v/>
      </c>
      <c r="J5" s="18">
        <f>I5*(1+Assumptions!F$26)</f>
        <v/>
      </c>
      <c r="K5" s="18">
        <f>J5*(1+Assumptions!G$26)</f>
        <v/>
      </c>
      <c r="L5" s="18">
        <f>K5*(1+Assumptions!H$26)</f>
        <v/>
      </c>
      <c r="M5" s="18">
        <f>L5*(1+Assumptions!I$26)</f>
        <v/>
      </c>
      <c r="N5" s="18">
        <f>M5*(1+Assumptions!J$26)</f>
        <v/>
      </c>
      <c r="O5" s="18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18947.034</v>
      </c>
      <c r="C7" s="25" t="n">
        <v>20648.75835000001</v>
      </c>
      <c r="D7" s="25" t="n">
        <v>22706.12554560001</v>
      </c>
      <c r="E7" s="25" t="n">
        <v>24498.28759759201</v>
      </c>
      <c r="F7" s="18">
        <f>F5*Assumptions!B$27</f>
        <v/>
      </c>
      <c r="G7" s="18">
        <f>G5*Assumptions!C$27</f>
        <v/>
      </c>
      <c r="H7" s="18">
        <f>H5*Assumptions!D$27</f>
        <v/>
      </c>
      <c r="I7" s="18">
        <f>I5*Assumptions!E$27</f>
        <v/>
      </c>
      <c r="J7" s="18">
        <f>J5*Assumptions!F$27</f>
        <v/>
      </c>
      <c r="K7" s="18">
        <f>K5*Assumptions!G$27</f>
        <v/>
      </c>
      <c r="L7" s="18">
        <f>L5*Assumptions!H$27</f>
        <v/>
      </c>
      <c r="M7" s="18">
        <f>M5*Assumptions!I$27</f>
        <v/>
      </c>
      <c r="N7" s="18">
        <f>N5*Assumptions!J$27</f>
        <v/>
      </c>
      <c r="O7" s="18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3649.0584</v>
      </c>
      <c r="C9" s="25" t="n">
        <v>3904.492488</v>
      </c>
      <c r="D9" s="25" t="n">
        <v>4216.85188704</v>
      </c>
      <c r="E9" s="25" t="n">
        <v>4469.863000262401</v>
      </c>
      <c r="F9" s="18">
        <f>F5*Assumptions!B$28</f>
        <v/>
      </c>
      <c r="G9" s="18">
        <f>G5*Assumptions!C$28</f>
        <v/>
      </c>
      <c r="H9" s="18">
        <f>H5*Assumptions!D$28</f>
        <v/>
      </c>
      <c r="I9" s="18">
        <f>I5*Assumptions!E$28</f>
        <v/>
      </c>
      <c r="J9" s="18">
        <f>J5*Assumptions!F$28</f>
        <v/>
      </c>
      <c r="K9" s="18">
        <f>K5*Assumptions!G$28</f>
        <v/>
      </c>
      <c r="L9" s="18">
        <f>L5*Assumptions!H$28</f>
        <v/>
      </c>
      <c r="M9" s="18">
        <f>M5*Assumptions!I$28</f>
        <v/>
      </c>
      <c r="N9" s="18">
        <f>N5*Assumptions!J$28</f>
        <v/>
      </c>
      <c r="O9" s="18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8">
        <f>F7+F9</f>
        <v/>
      </c>
      <c r="G10" s="18">
        <f>G7+G9</f>
        <v/>
      </c>
      <c r="H10" s="18">
        <f>H7+H9</f>
        <v/>
      </c>
      <c r="I10" s="18">
        <f>I7+I9</f>
        <v/>
      </c>
      <c r="J10" s="18">
        <f>J7+J9</f>
        <v/>
      </c>
      <c r="K10" s="18">
        <f>K7+K9</f>
        <v/>
      </c>
      <c r="L10" s="18">
        <f>L7+L9</f>
        <v/>
      </c>
      <c r="M10" s="18">
        <f>M7+M9</f>
        <v/>
      </c>
      <c r="N10" s="18">
        <f>N7+N9</f>
        <v/>
      </c>
      <c r="O10" s="18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3368.361600000001</v>
      </c>
      <c r="C12" s="25" t="n">
        <v>3604.146912000001</v>
      </c>
      <c r="D12" s="25" t="n">
        <v>3892.478664960001</v>
      </c>
      <c r="E12" s="25" t="n">
        <v>4126.027384857602</v>
      </c>
      <c r="F12" s="18">
        <f>F5*Assumptions!B$29</f>
        <v/>
      </c>
      <c r="G12" s="18">
        <f>G5*Assumptions!C$29</f>
        <v/>
      </c>
      <c r="H12" s="18">
        <f>H5*Assumptions!D$29</f>
        <v/>
      </c>
      <c r="I12" s="18">
        <f>I5*Assumptions!E$29</f>
        <v/>
      </c>
      <c r="J12" s="18">
        <f>J5*Assumptions!F$29</f>
        <v/>
      </c>
      <c r="K12" s="18">
        <f>K5*Assumptions!G$29</f>
        <v/>
      </c>
      <c r="L12" s="18">
        <f>L5*Assumptions!H$29</f>
        <v/>
      </c>
      <c r="M12" s="18">
        <f>M5*Assumptions!I$29</f>
        <v/>
      </c>
      <c r="N12" s="18">
        <f>N5*Assumptions!J$29</f>
        <v/>
      </c>
      <c r="O12" s="18">
        <f>O5*Assumptions!K$29</f>
        <v/>
      </c>
    </row>
    <row r="13">
      <c r="A13" s="3" t="inlineStr">
        <is>
          <t>Δ Net working capital</t>
        </is>
      </c>
      <c r="B13" s="25" t="n">
        <v>842.0904000000003</v>
      </c>
      <c r="C13" s="25" t="n">
        <v>901.0367280000003</v>
      </c>
      <c r="D13" s="25" t="n">
        <v>973.1196662400002</v>
      </c>
      <c r="E13" s="25" t="n">
        <v>1031.5068462144</v>
      </c>
      <c r="F13" s="18">
        <f>(F5-E5)*Assumptions!$B$30</f>
        <v/>
      </c>
      <c r="G13" s="18">
        <f>(G5-F5)*Assumptions!$B$30</f>
        <v/>
      </c>
      <c r="H13" s="18">
        <f>(H5-G5)*Assumptions!$B$30</f>
        <v/>
      </c>
      <c r="I13" s="18">
        <f>(I5-H5)*Assumptions!$B$30</f>
        <v/>
      </c>
      <c r="J13" s="18">
        <f>(J5-I5)*Assumptions!$B$30</f>
        <v/>
      </c>
      <c r="K13" s="18">
        <f>(K5-J5)*Assumptions!$B$30</f>
        <v/>
      </c>
      <c r="L13" s="18">
        <f>(L5-K5)*Assumptions!$B$30</f>
        <v/>
      </c>
      <c r="M13" s="18">
        <f>(M5-L5)*Assumptions!$B$30</f>
        <v/>
      </c>
      <c r="N13" s="18">
        <f>(N5-M5)*Assumptions!$B$30</f>
        <v/>
      </c>
      <c r="O13" s="18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8">
        <f>B5*B7</f>
        <v/>
      </c>
      <c r="C8" s="18">
        <f>C5*C7</f>
        <v/>
      </c>
      <c r="D8" s="18">
        <f>D5*D7</f>
        <v/>
      </c>
      <c r="E8" s="18">
        <f>E5*E7</f>
        <v/>
      </c>
      <c r="F8" s="18">
        <f>F5*F7</f>
        <v/>
      </c>
      <c r="G8" s="18">
        <f>G5*G7</f>
        <v/>
      </c>
      <c r="H8" s="18">
        <f>H5*H7</f>
        <v/>
      </c>
      <c r="I8" s="18">
        <f>I5*I7</f>
        <v/>
      </c>
      <c r="J8" s="18">
        <f>J5*J7</f>
        <v/>
      </c>
      <c r="K8" s="18">
        <f>K5*K7</f>
        <v/>
      </c>
    </row>
    <row r="10">
      <c r="A10" s="3" t="inlineStr">
        <is>
          <t>PV of explicit FCFF</t>
        </is>
      </c>
      <c r="B10" s="18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20" t="n">
        <v>37500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8">
        <f>$B$11*(1+Assumptions!$B$22)*(1-$B$15)/(WACC!$B$10-Assumptions!$B$22)</f>
        <v/>
      </c>
    </row>
    <row r="17">
      <c r="A17" s="3" t="inlineStr">
        <is>
          <t>PV of terminal value</t>
        </is>
      </c>
      <c r="B17" s="18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0.07604129145865833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0.08354129145865832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0.09104129145865833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0.09854129145865834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0.1060412914586583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Comparable companies</t>
        </is>
      </c>
    </row>
    <row r="2">
      <c r="A2" s="2" t="inlineStr">
        <is>
          <t>Peer inputs in blue; medians and implied values are live formulas.</t>
        </is>
      </c>
    </row>
    <row r="4">
      <c r="A4" s="9" t="inlineStr">
        <is>
          <t>Peer</t>
        </is>
      </c>
      <c r="B4" s="10" t="inlineStr">
        <is>
          <t>EV/EBITDA</t>
        </is>
      </c>
      <c r="C4" s="10" t="inlineStr">
        <is>
          <t>EV/EBIT</t>
        </is>
      </c>
      <c r="D4" s="10" t="inlineStr">
        <is>
          <t>EV/Sales</t>
        </is>
      </c>
      <c r="E4" s="10" t="inlineStr">
        <is>
          <t>P/E</t>
        </is>
      </c>
    </row>
    <row r="5">
      <c r="A5" s="3" t="inlineStr">
        <is>
          <t>PEERA</t>
        </is>
      </c>
      <c r="B5" s="36" t="n">
        <v>17.66666666666667</v>
      </c>
      <c r="C5" s="36" t="n">
        <v>22.64957264957265</v>
      </c>
      <c r="D5" s="36" t="n">
        <v>2.564516129032258</v>
      </c>
      <c r="E5" s="36" t="n">
        <v>23.87096774193548</v>
      </c>
    </row>
    <row r="6">
      <c r="A6" s="3" t="inlineStr">
        <is>
          <t>PEERB</t>
        </is>
      </c>
      <c r="B6" s="36" t="n">
        <v>16.72131147540984</v>
      </c>
      <c r="C6" s="36" t="n">
        <v>21.43757881462799</v>
      </c>
      <c r="D6" s="36" t="n">
        <v>2.48780487804878</v>
      </c>
      <c r="E6" s="36" t="n">
        <v>23.72549019607843</v>
      </c>
    </row>
    <row r="7">
      <c r="A7" s="3" t="inlineStr">
        <is>
          <t>PEERC</t>
        </is>
      </c>
      <c r="B7" s="36" t="n">
        <v>17.12</v>
      </c>
      <c r="C7" s="36" t="n">
        <v>21.94871794871795</v>
      </c>
      <c r="D7" s="36" t="n">
        <v>2.743589743589744</v>
      </c>
      <c r="E7" s="36" t="n">
        <v>29.43820224719101</v>
      </c>
    </row>
    <row r="8">
      <c r="A8" s="3" t="inlineStr">
        <is>
          <t>PEERD</t>
        </is>
      </c>
      <c r="B8" s="36" t="n">
        <v>16.66666666666667</v>
      </c>
      <c r="C8" s="36" t="n">
        <v>21.36752136752137</v>
      </c>
      <c r="D8" s="36" t="n">
        <v>2.424242424242424</v>
      </c>
      <c r="E8" s="36" t="n">
        <v>20.95238095238095</v>
      </c>
    </row>
    <row r="9">
      <c r="A9" s="3" t="inlineStr">
        <is>
          <t>PEERE</t>
        </is>
      </c>
      <c r="B9" s="36" t="n">
        <v>16.82926829268293</v>
      </c>
      <c r="C9" s="36" t="n">
        <v>21.57598499061914</v>
      </c>
      <c r="D9" s="36" t="n">
        <v>2.509090909090909</v>
      </c>
      <c r="E9" s="36" t="n">
        <v>23.78378378378378</v>
      </c>
    </row>
    <row r="10">
      <c r="A10" s="13" t="inlineStr">
        <is>
          <t>Median</t>
        </is>
      </c>
      <c r="B10" s="37">
        <f>MEDIAN(B5:B9)</f>
        <v/>
      </c>
      <c r="C10" s="37">
        <f>MEDIAN(C5:C9)</f>
        <v/>
      </c>
      <c r="D10" s="37">
        <f>MEDIAN(D5:D9)</f>
        <v/>
      </c>
      <c r="E10" s="37">
        <f>MEDIAN(E5:E9)</f>
        <v/>
      </c>
    </row>
    <row r="12">
      <c r="A12" s="9" t="inlineStr">
        <is>
          <t>Company metric</t>
        </is>
      </c>
      <c r="B12" s="10" t="inlineStr">
        <is>
          <t>Value</t>
        </is>
      </c>
      <c r="C12" s="10" t="inlineStr">
        <is>
          <t>×median</t>
        </is>
      </c>
      <c r="D12" s="10" t="inlineStr">
        <is>
          <t>Implied VPS (USD)</t>
        </is>
      </c>
    </row>
    <row r="13">
      <c r="A13" s="3" t="inlineStr">
        <is>
          <t>EBITDA</t>
        </is>
      </c>
      <c r="B13" s="20" t="n">
        <v>28968.15059785441</v>
      </c>
      <c r="C13" s="38">
        <f>B10</f>
        <v/>
      </c>
      <c r="D13" s="4">
        <f>(B13*C13-Assumptions!$B$10-Assumptions!$B$9)/Assumptions!$B$6</f>
        <v/>
      </c>
    </row>
    <row r="14">
      <c r="A14" s="3" t="inlineStr">
        <is>
          <t>EBIT</t>
        </is>
      </c>
      <c r="B14" s="20" t="n">
        <v>24498.28759759201</v>
      </c>
      <c r="C14" s="38">
        <f>C10</f>
        <v/>
      </c>
      <c r="D14" s="4">
        <f>(B14*C14-Assumptions!$B$10-Assumptions!$B$9)/Assumptions!$B$6</f>
        <v/>
      </c>
    </row>
    <row r="15">
      <c r="A15" s="3" t="inlineStr">
        <is>
          <t>Revenue</t>
        </is>
      </c>
      <c r="B15" s="20" t="n">
        <v>85958.90385120003</v>
      </c>
      <c r="C15" s="38">
        <f>D10</f>
        <v/>
      </c>
      <c r="D15" s="4">
        <f>(B15*C15-Assumptions!$B$10-Assumptions!$B$9)/Assumptions!$B$6</f>
        <v/>
      </c>
    </row>
    <row r="16">
      <c r="A16" s="3" t="inlineStr">
        <is>
          <t>EPS</t>
        </is>
      </c>
      <c r="B16" s="6" t="n">
        <v>12.86849536450627</v>
      </c>
      <c r="C16" s="38">
        <f>E10</f>
        <v/>
      </c>
      <c r="D16" s="16">
        <f>B16*C16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DEMO — IS (reported)</t>
        </is>
      </c>
    </row>
    <row r="2">
      <c r="A2" s="2" t="inlineStr">
        <is>
          <t>As reported by DEMO (synthetic) (USDmm). Hardcoded actuals.</t>
        </is>
      </c>
    </row>
    <row r="4">
      <c r="A4" s="9" t="inlineStr">
        <is>
          <t>Line item</t>
        </is>
      </c>
      <c r="B4" s="10" t="inlineStr">
        <is>
          <t>FY2020</t>
        </is>
      </c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A5" s="3" t="inlineStr">
        <is>
          <t>Revenue</t>
        </is>
      </c>
      <c r="B5" s="25" t="n">
        <v>58000</v>
      </c>
      <c r="C5" s="25" t="n">
        <v>64380.00000000001</v>
      </c>
      <c r="D5" s="25" t="n">
        <v>70174.20000000001</v>
      </c>
      <c r="E5" s="25" t="n">
        <v>75086.39400000001</v>
      </c>
      <c r="F5" s="25" t="n">
        <v>81093.30552000001</v>
      </c>
      <c r="G5" s="25" t="n">
        <v>85958.90385120003</v>
      </c>
    </row>
    <row r="6">
      <c r="A6" s="3" t="inlineStr">
        <is>
          <t>EBIT (operating income)</t>
        </is>
      </c>
      <c r="B6" s="25" t="n">
        <v>15080</v>
      </c>
      <c r="C6" s="25" t="n">
        <v>17060.7</v>
      </c>
      <c r="D6" s="25" t="n">
        <v>18947.034</v>
      </c>
      <c r="E6" s="25" t="n">
        <v>20648.75835000001</v>
      </c>
      <c r="F6" s="25" t="n">
        <v>22706.12554560001</v>
      </c>
      <c r="G6" s="25" t="n">
        <v>24498.28759759201</v>
      </c>
    </row>
    <row r="7">
      <c r="A7" s="3" t="inlineStr">
        <is>
          <t>EBITDA</t>
        </is>
      </c>
      <c r="B7" s="25" t="n">
        <v>18096</v>
      </c>
      <c r="C7" s="25" t="n">
        <v>20408.46</v>
      </c>
      <c r="D7" s="25" t="n">
        <v>22596.09240000001</v>
      </c>
      <c r="E7" s="25" t="n">
        <v>24553.25083800001</v>
      </c>
      <c r="F7" s="25" t="n">
        <v>26922.97743264001</v>
      </c>
      <c r="G7" s="25" t="n">
        <v>28968.15059785441</v>
      </c>
    </row>
    <row r="8">
      <c r="A8" s="3" t="inlineStr">
        <is>
          <t>D&amp;A</t>
        </is>
      </c>
      <c r="B8" s="25" t="n">
        <v>3016</v>
      </c>
      <c r="C8" s="25" t="n">
        <v>3347.760000000001</v>
      </c>
      <c r="D8" s="25" t="n">
        <v>3649.0584</v>
      </c>
      <c r="E8" s="25" t="n">
        <v>3904.492488</v>
      </c>
      <c r="F8" s="25" t="n">
        <v>4216.85188704</v>
      </c>
      <c r="G8" s="25" t="n">
        <v>4469.863000262401</v>
      </c>
    </row>
    <row r="9">
      <c r="A9" s="3" t="inlineStr">
        <is>
          <t>Interest expense</t>
        </is>
      </c>
      <c r="B9" s="25" t="n">
        <v>550</v>
      </c>
      <c r="C9" s="25" t="n">
        <v>550</v>
      </c>
      <c r="D9" s="25" t="n">
        <v>550</v>
      </c>
      <c r="E9" s="25" t="n">
        <v>550</v>
      </c>
      <c r="F9" s="25" t="n">
        <v>550</v>
      </c>
      <c r="G9" s="25" t="n">
        <v>550</v>
      </c>
    </row>
    <row r="10">
      <c r="A10" s="3" t="inlineStr">
        <is>
          <t>Pre-tax income</t>
        </is>
      </c>
      <c r="B10" s="25" t="n">
        <v>14730</v>
      </c>
      <c r="C10" s="25" t="n">
        <v>16710.7</v>
      </c>
      <c r="D10" s="25" t="n">
        <v>18597.034</v>
      </c>
      <c r="E10" s="25" t="n">
        <v>20298.75835000001</v>
      </c>
      <c r="F10" s="25" t="n">
        <v>22356.12554560001</v>
      </c>
      <c r="G10" s="25" t="n">
        <v>24148.28759759201</v>
      </c>
    </row>
    <row r="11">
      <c r="A11" s="3" t="inlineStr">
        <is>
          <t>Tax expense</t>
        </is>
      </c>
      <c r="B11" s="25" t="n">
        <v>2798.7</v>
      </c>
      <c r="C11" s="25" t="n">
        <v>3175.033000000001</v>
      </c>
      <c r="D11" s="25" t="n">
        <v>3533.436460000001</v>
      </c>
      <c r="E11" s="25" t="n">
        <v>3856.764086500001</v>
      </c>
      <c r="F11" s="25" t="n">
        <v>4247.663853664001</v>
      </c>
      <c r="G11" s="25" t="n">
        <v>4588.174643542482</v>
      </c>
    </row>
    <row r="12">
      <c r="A12" s="3" t="inlineStr">
        <is>
          <t>Net income</t>
        </is>
      </c>
      <c r="B12" s="25" t="n">
        <v>11931.3</v>
      </c>
      <c r="C12" s="25" t="n">
        <v>13535.667</v>
      </c>
      <c r="D12" s="25" t="n">
        <v>15063.59754</v>
      </c>
      <c r="E12" s="25" t="n">
        <v>16441.9942635</v>
      </c>
      <c r="F12" s="25" t="n">
        <v>18108.46169193601</v>
      </c>
      <c r="G12" s="25" t="n">
        <v>19560.11295404953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DEMO — BS (reported)</t>
        </is>
      </c>
    </row>
    <row r="2">
      <c r="A2" s="2" t="inlineStr">
        <is>
          <t>As reported by DEMO (synthetic) (USDmm). Hardcoded actuals.</t>
        </is>
      </c>
    </row>
    <row r="4">
      <c r="A4" s="9" t="inlineStr">
        <is>
          <t>Line item</t>
        </is>
      </c>
      <c r="B4" s="10" t="inlineStr">
        <is>
          <t>FY2020</t>
        </is>
      </c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A5" s="3" t="inlineStr">
        <is>
          <t>Total debt</t>
        </is>
      </c>
      <c r="B5" s="25" t="n">
        <v>12000</v>
      </c>
      <c r="C5" s="25" t="n">
        <v>12000</v>
      </c>
      <c r="D5" s="25" t="n">
        <v>12000</v>
      </c>
      <c r="E5" s="25" t="n">
        <v>12000</v>
      </c>
      <c r="F5" s="25" t="n">
        <v>12000</v>
      </c>
      <c r="G5" s="25" t="n">
        <v>12000</v>
      </c>
    </row>
    <row r="6">
      <c r="A6" s="3" t="inlineStr">
        <is>
          <t>Cash &amp; ST investments</t>
        </is>
      </c>
      <c r="B6" s="25" t="n">
        <v>9500</v>
      </c>
      <c r="C6" s="25" t="n">
        <v>10100</v>
      </c>
      <c r="D6" s="25" t="n">
        <v>10700</v>
      </c>
      <c r="E6" s="25" t="n">
        <v>11300</v>
      </c>
      <c r="F6" s="25" t="n">
        <v>11900</v>
      </c>
      <c r="G6" s="25" t="n">
        <v>12500</v>
      </c>
    </row>
    <row r="7">
      <c r="A7" s="3" t="inlineStr">
        <is>
          <t>Total equity</t>
        </is>
      </c>
      <c r="B7" s="25" t="n">
        <v>28000</v>
      </c>
      <c r="C7" s="25" t="n">
        <v>30000</v>
      </c>
      <c r="D7" s="25" t="n">
        <v>32000</v>
      </c>
      <c r="E7" s="25" t="n">
        <v>34000</v>
      </c>
      <c r="F7" s="25" t="n">
        <v>36000</v>
      </c>
      <c r="G7" s="25" t="n">
        <v>38000</v>
      </c>
    </row>
    <row r="8">
      <c r="A8" s="3" t="inlineStr">
        <is>
          <t>Minority interest</t>
        </is>
      </c>
      <c r="B8" s="25" t="n">
        <v>300</v>
      </c>
      <c r="C8" s="25" t="n">
        <v>300</v>
      </c>
      <c r="D8" s="25" t="n">
        <v>300</v>
      </c>
      <c r="E8" s="25" t="n">
        <v>300</v>
      </c>
      <c r="F8" s="25" t="n">
        <v>300</v>
      </c>
      <c r="G8" s="25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DEMO — CF (reported)</t>
        </is>
      </c>
    </row>
    <row r="2">
      <c r="A2" s="2" t="inlineStr">
        <is>
          <t>As reported by DEMO (synthetic) (USDmm). Hardcoded actuals.</t>
        </is>
      </c>
    </row>
    <row r="4">
      <c r="A4" s="9" t="inlineStr">
        <is>
          <t>Line item</t>
        </is>
      </c>
      <c r="B4" s="10" t="inlineStr">
        <is>
          <t>FY2020</t>
        </is>
      </c>
      <c r="C4" s="10" t="inlineStr">
        <is>
          <t>FY2021</t>
        </is>
      </c>
      <c r="D4" s="10" t="inlineStr">
        <is>
          <t>FY2022</t>
        </is>
      </c>
      <c r="E4" s="10" t="inlineStr">
        <is>
          <t>FY2023</t>
        </is>
      </c>
      <c r="F4" s="10" t="inlineStr">
        <is>
          <t>FY2024</t>
        </is>
      </c>
      <c r="G4" s="10" t="inlineStr">
        <is>
          <t>FY2025</t>
        </is>
      </c>
    </row>
    <row r="5">
      <c r="A5" s="3" t="inlineStr">
        <is>
          <t>Operating cash flow</t>
        </is>
      </c>
      <c r="B5" s="25" t="n">
        <v>14947.3</v>
      </c>
      <c r="C5" s="25" t="n">
        <v>16883.427</v>
      </c>
      <c r="D5" s="25" t="n">
        <v>18712.65594</v>
      </c>
      <c r="E5" s="25" t="n">
        <v>20346.48675150001</v>
      </c>
      <c r="F5" s="25" t="n">
        <v>22325.31357897601</v>
      </c>
      <c r="G5" s="25" t="n">
        <v>24029.97595431193</v>
      </c>
    </row>
    <row r="6">
      <c r="A6" s="3" t="inlineStr">
        <is>
          <t>Capex</t>
        </is>
      </c>
      <c r="B6" s="25" t="n">
        <v>2784</v>
      </c>
      <c r="C6" s="25" t="n">
        <v>3090.240000000001</v>
      </c>
      <c r="D6" s="25" t="n">
        <v>3368.361600000001</v>
      </c>
      <c r="E6" s="25" t="n">
        <v>3604.146912000001</v>
      </c>
      <c r="F6" s="25" t="n">
        <v>3892.478664960001</v>
      </c>
      <c r="G6" s="25" t="n">
        <v>4126.027384857602</v>
      </c>
    </row>
    <row r="7">
      <c r="A7" s="3" t="inlineStr">
        <is>
          <t>Change in NWC</t>
        </is>
      </c>
      <c r="B7" s="25" t="n">
        <v>696</v>
      </c>
      <c r="C7" s="25" t="n">
        <v>772.5600000000002</v>
      </c>
      <c r="D7" s="25" t="n">
        <v>842.0904000000003</v>
      </c>
      <c r="E7" s="25" t="n">
        <v>901.0367280000003</v>
      </c>
      <c r="F7" s="25" t="n">
        <v>973.1196662400002</v>
      </c>
      <c r="G7" s="25" t="n">
        <v>1031.5068462144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2026-10-13T10:55:53Z</dcterms:created>
  <dcterms:modified xmlns:dcterms="http://purl.org/dc/terms/" xmlns:xsi="http://www.w3.org/2001/XMLSchema-instance" xsi:type="dcterms:W3CDTF">2026-10-13T10:55:53Z</dcterms:modified>
</cp:coreProperties>
</file>