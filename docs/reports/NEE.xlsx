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arget Price" sheetId="2" state="visible" r:id="rId2"/>
    <sheet xmlns:r="http://schemas.openxmlformats.org/officeDocument/2006/relationships" name="Financial Model" sheetId="3" state="visible" r:id="rId3"/>
    <sheet xmlns:r="http://schemas.openxmlformats.org/officeDocument/2006/relationships" name="Assumptions" sheetId="4" state="visible" r:id="rId4"/>
    <sheet xmlns:r="http://schemas.openxmlformats.org/officeDocument/2006/relationships" name="WACC" sheetId="5" state="visible" r:id="rId5"/>
    <sheet xmlns:r="http://schemas.openxmlformats.org/officeDocument/2006/relationships" name="Model" sheetId="6" state="visible" r:id="rId6"/>
    <sheet xmlns:r="http://schemas.openxmlformats.org/officeDocument/2006/relationships" name="DCF" sheetId="7" state="visible" r:id="rId7"/>
    <sheet xmlns:r="http://schemas.openxmlformats.org/officeDocument/2006/relationships" name="Sensitivity" sheetId="8" state="visible" r:id="rId8"/>
    <sheet xmlns:r="http://schemas.openxmlformats.org/officeDocument/2006/relationships" name="DDM" sheetId="9" state="visible" r:id="rId9"/>
    <sheet xmlns:r="http://schemas.openxmlformats.org/officeDocument/2006/relationships" name="IS (reported)" sheetId="10" state="visible" r:id="rId10"/>
    <sheet xmlns:r="http://schemas.openxmlformats.org/officeDocument/2006/relationships" name="BS (reported)" sheetId="11" state="visible" r:id="rId11"/>
    <sheet xmlns:r="http://schemas.openxmlformats.org/officeDocument/2006/relationships" name="CF (reported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#,##0.00;(#,##0.00);&quot;-&quot;"/>
    <numFmt numFmtId="165" formatCode="#,##0;(#,##0);&quot;-&quot;"/>
    <numFmt numFmtId="166" formatCode="0.00%;(0.00%);&quot;-&quot;"/>
    <numFmt numFmtId="167" formatCode="0.0%;(0.0%);&quot;-&quot;"/>
    <numFmt numFmtId="168" formatCode="0.0"/>
    <numFmt numFmtId="169" formatCode="0.000"/>
  </numFmts>
  <fonts count="12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6B6F76"/>
      <sz val="9"/>
    </font>
    <font>
      <name val="Arial"/>
      <b val="1"/>
      <color rgb="000F6466"/>
      <sz val="11"/>
    </font>
    <font>
      <name val="Arial"/>
      <color rgb="00000000"/>
      <sz val="10"/>
    </font>
    <font>
      <name val="Arial"/>
      <color rgb="000000FF"/>
      <sz val="10"/>
    </font>
    <font>
      <name val="Arial"/>
      <b val="1"/>
      <color rgb="00FFFFFF"/>
      <sz val="10"/>
    </font>
    <font>
      <name val="Arial"/>
      <color rgb="00008000"/>
      <sz val="10"/>
    </font>
    <font>
      <name val="Arial"/>
      <b val="1"/>
      <sz val="10"/>
    </font>
    <font>
      <name val="Arial"/>
      <b val="1"/>
      <color rgb="00000000"/>
      <sz val="10"/>
    </font>
    <font>
      <name val="Arial"/>
      <b val="1"/>
      <color rgb="00008000"/>
      <sz val="10"/>
    </font>
    <font>
      <name val="Arial"/>
      <b val="1"/>
      <color rgb="000000FF"/>
      <sz val="10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0E1116"/>
      </patternFill>
    </fill>
    <fill>
      <patternFill patternType="solid">
        <fgColor rgb="00F1F0EA"/>
      </patternFill>
    </fill>
  </fills>
  <borders count="3">
    <border>
      <left/>
      <right/>
      <top/>
      <bottom/>
      <diagonal/>
    </border>
    <border>
      <top style="double"/>
    </border>
    <border>
      <top style="thin"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164" fontId="7" fillId="0" borderId="0" pivotButton="0" quotePrefix="0" xfId="0"/>
    <xf numFmtId="167" fontId="10" fillId="0" borderId="0" pivotButton="0" quotePrefix="0" xfId="0"/>
    <xf numFmtId="164" fontId="5" fillId="0" borderId="0" pivotButton="0" quotePrefix="0" xfId="0"/>
    <xf numFmtId="166" fontId="7" fillId="0" borderId="0" pivotButton="0" quotePrefix="0" xfId="0"/>
    <xf numFmtId="0" fontId="3" fillId="0" borderId="0" pivotButton="0" quotePrefix="0" xfId="0"/>
    <xf numFmtId="0" fontId="6" fillId="3" borderId="0" applyAlignment="1" pivotButton="0" quotePrefix="0" xfId="0">
      <alignment horizontal="left"/>
    </xf>
    <xf numFmtId="0" fontId="6" fillId="3" borderId="0" applyAlignment="1" pivotButton="0" quotePrefix="0" xfId="0">
      <alignment horizontal="right"/>
    </xf>
    <xf numFmtId="167" fontId="5" fillId="0" borderId="0" pivotButton="0" quotePrefix="0" xfId="0"/>
    <xf numFmtId="167" fontId="4" fillId="0" borderId="0" pivotButton="0" quotePrefix="0" xfId="0"/>
    <xf numFmtId="0" fontId="8" fillId="0" borderId="0" pivotButton="0" quotePrefix="0" xfId="0"/>
    <xf numFmtId="164" fontId="9" fillId="0" borderId="2" pivotButton="0" quotePrefix="0" xfId="0"/>
    <xf numFmtId="166" fontId="5" fillId="0" borderId="0" pivotButton="0" quotePrefix="0" xfId="0"/>
    <xf numFmtId="164" fontId="4" fillId="0" borderId="0" pivotButton="0" quotePrefix="0" xfId="0"/>
    <xf numFmtId="164" fontId="9" fillId="0" borderId="1" pivotButton="0" quotePrefix="0" xfId="0"/>
    <xf numFmtId="165" fontId="5" fillId="0" borderId="0" pivotButton="0" quotePrefix="0" xfId="0"/>
    <xf numFmtId="165" fontId="4" fillId="0" borderId="0" pivotButton="0" quotePrefix="0" xfId="0"/>
    <xf numFmtId="165" fontId="11" fillId="0" borderId="2" pivotButton="0" quotePrefix="0" xfId="0"/>
    <xf numFmtId="166" fontId="5" fillId="2" borderId="0" pivotButton="0" quotePrefix="0" xfId="0"/>
    <xf numFmtId="2" fontId="5" fillId="2" borderId="0" pivotButton="0" quotePrefix="0" xfId="0"/>
    <xf numFmtId="165" fontId="7" fillId="0" borderId="0" pivotButton="0" quotePrefix="0" xfId="0"/>
    <xf numFmtId="166" fontId="9" fillId="0" borderId="1" pivotButton="0" quotePrefix="0" xfId="0"/>
    <xf numFmtId="165" fontId="5" fillId="4" borderId="0" pivotButton="0" quotePrefix="0" xfId="0"/>
    <xf numFmtId="167" fontId="4" fillId="4" borderId="0" pivotButton="0" quotePrefix="0" xfId="0"/>
    <xf numFmtId="165" fontId="4" fillId="4" borderId="0" pivotButton="0" quotePrefix="0" xfId="0"/>
    <xf numFmtId="165" fontId="7" fillId="4" borderId="0" pivotButton="0" quotePrefix="0" xfId="0"/>
    <xf numFmtId="165" fontId="9" fillId="4" borderId="2" pivotButton="0" quotePrefix="0" xfId="0"/>
    <xf numFmtId="165" fontId="9" fillId="0" borderId="2" pivotButton="0" quotePrefix="0" xfId="0"/>
    <xf numFmtId="168" fontId="4" fillId="0" borderId="0" pivotButton="0" quotePrefix="0" xfId="0"/>
    <xf numFmtId="169" fontId="7" fillId="0" borderId="0" pivotButton="0" quotePrefix="0" xfId="0"/>
    <xf numFmtId="167" fontId="7" fillId="0" borderId="0" pivotButton="0" quotePrefix="0" xfId="0"/>
    <xf numFmtId="164" fontId="9" fillId="0" borderId="0" pivotButton="0" quotePrefix="0" xfId="0"/>
    <xf numFmtId="167" fontId="10" fillId="0" borderId="1" pivotButton="0" quotePrefix="0" xfId="0"/>
    <xf numFmtId="167" fontId="5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</cols>
  <sheetData>
    <row r="1">
      <c r="A1" s="1" t="inlineStr">
        <is>
          <t>NextEra Energy, Inc. (NEE)</t>
        </is>
      </c>
    </row>
    <row r="2">
      <c r="A2" s="2" t="inlineStr">
        <is>
          <t>Utilities · Utility (P/E + dividends + DCF) · generated 2026-10-13 · data: yfinance</t>
        </is>
      </c>
    </row>
    <row r="4">
      <c r="A4" s="3" t="inlineStr">
        <is>
          <t>Current price</t>
        </is>
      </c>
      <c r="B4" s="4">
        <f>Assumptions!$B$5</f>
        <v/>
      </c>
    </row>
    <row r="5">
      <c r="A5" s="3" t="inlineStr">
        <is>
          <t>DCF value per share (one lens)</t>
        </is>
      </c>
      <c r="B5" s="4">
        <f>DCF!$B$24</f>
        <v/>
      </c>
    </row>
    <row r="6">
      <c r="A6" s="3" t="inlineStr">
        <is>
          <t>Upside / downside</t>
        </is>
      </c>
      <c r="B6" s="5">
        <f>DCF!$B$24/Assumptions!$B$5-1</f>
        <v/>
      </c>
    </row>
    <row r="7">
      <c r="A7" s="3" t="inlineStr">
        <is>
          <t>12-month price target (report)</t>
        </is>
      </c>
      <c r="B7" s="6" t="n">
        <v>72.82828642071712</v>
      </c>
    </row>
    <row r="8">
      <c r="A8" s="3" t="inlineStr">
        <is>
          <t>WACC</t>
        </is>
      </c>
      <c r="B8" s="7">
        <f>WACC!$B$10</f>
        <v/>
      </c>
    </row>
    <row r="10">
      <c r="A10" s="8" t="inlineStr">
        <is>
          <t>How to use</t>
        </is>
      </c>
    </row>
    <row r="11">
      <c r="A11" s="2" t="inlineStr">
        <is>
          <t>Blue cells are inputs — edit growth, margins, beta, ERP or terminal g</t>
        </is>
      </c>
    </row>
    <row r="12">
      <c r="A12" s="2" t="inlineStr">
        <is>
          <t>in the Assumptions sheet and everything recalculates live.</t>
        </is>
      </c>
    </row>
    <row r="13">
      <c r="A13" s="2" t="inlineStr">
        <is>
          <t>Black cells are formulas; green cells link across sheets.</t>
        </is>
      </c>
    </row>
    <row r="14">
      <c r="A14" s="2" t="inlineStr">
        <is>
          <t>The Sensitivity grid re-runs the full DCF per WACC/g pair.</t>
        </is>
      </c>
    </row>
    <row r="15">
      <c r="A15" s="2" t="inlineStr">
        <is>
          <t>Not investment advice. Verify source data before relying on outputs.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NEE — 12-month price target (lens triangulation)</t>
        </is>
      </c>
    </row>
    <row r="2">
      <c r="A2" s="2" t="inlineStr">
        <is>
          <t>Blue = inputs (weights, Ke, dividends, Street weight); black = live formulas. Change a weight and the blended fair value and target recalculate. Guardrail exclusions are already reflected in the effective weights.</t>
        </is>
      </c>
    </row>
    <row r="4">
      <c r="A4" s="9" t="inlineStr">
        <is>
          <t>Lens</t>
        </is>
      </c>
      <c r="B4" s="10" t="inlineStr">
        <is>
          <t>Type</t>
        </is>
      </c>
      <c r="C4" s="10" t="inlineStr">
        <is>
          <t>Value / share</t>
        </is>
      </c>
      <c r="D4" s="10" t="inlineStr">
        <is>
          <t>Low</t>
        </is>
      </c>
      <c r="E4" s="10" t="inlineStr">
        <is>
          <t>High</t>
        </is>
      </c>
      <c r="F4" s="10" t="inlineStr">
        <is>
          <t>Weight</t>
        </is>
      </c>
      <c r="G4" s="10" t="inlineStr">
        <is>
          <t>Status</t>
        </is>
      </c>
    </row>
    <row r="5">
      <c r="A5" s="3" t="inlineStr">
        <is>
          <t>Discounted cash flow (FCFF)</t>
        </is>
      </c>
      <c r="B5" s="2" t="inlineStr">
        <is>
          <t>intrinsic</t>
        </is>
      </c>
      <c r="C5" s="6" t="n">
        <v>42.44233667832284</v>
      </c>
      <c r="D5" s="6" t="n">
        <v>30.51716178237815</v>
      </c>
      <c r="E5" s="6" t="n">
        <v>55.77516495555928</v>
      </c>
      <c r="F5" s="11" t="n">
        <v>0.25</v>
      </c>
      <c r="G5" s="2" t="inlineStr">
        <is>
          <t>ok</t>
        </is>
      </c>
    </row>
    <row r="6">
      <c r="A6" s="3" t="inlineStr">
        <is>
          <t>Forward P/E</t>
        </is>
      </c>
      <c r="B6" s="2" t="inlineStr">
        <is>
          <t>relative</t>
        </is>
      </c>
      <c r="C6" s="6" t="n">
        <v>67.10675576790298</v>
      </c>
      <c r="D6" s="6" t="n">
        <v>55.02753972968044</v>
      </c>
      <c r="E6" s="6" t="n">
        <v>79.18597180612551</v>
      </c>
      <c r="F6" s="11" t="n">
        <v>0.3</v>
      </c>
      <c r="G6" s="2" t="inlineStr">
        <is>
          <t>ok</t>
        </is>
      </c>
    </row>
    <row r="7">
      <c r="A7" s="3" t="inlineStr">
        <is>
          <t>Forward EV/EBITDA</t>
        </is>
      </c>
      <c r="B7" s="2" t="inlineStr">
        <is>
          <t>relative</t>
        </is>
      </c>
      <c r="C7" s="6" t="n">
        <v>82.88467691267083</v>
      </c>
      <c r="D7" s="6" t="n">
        <v>58.93272326022947</v>
      </c>
      <c r="E7" s="6" t="n">
        <v>106.8366305651122</v>
      </c>
      <c r="F7" s="11" t="n">
        <v>0.2</v>
      </c>
      <c r="G7" s="2" t="inlineStr">
        <is>
          <t>ok</t>
        </is>
      </c>
    </row>
    <row r="8">
      <c r="A8" s="3" t="inlineStr">
        <is>
          <t>Multi-stage dividend discount</t>
        </is>
      </c>
      <c r="B8" s="2" t="inlineStr">
        <is>
          <t>sector</t>
        </is>
      </c>
      <c r="C8" s="6" t="n">
        <v>52.30077650226955</v>
      </c>
      <c r="D8" s="6" t="n">
        <v>41.84062120181564</v>
      </c>
      <c r="E8" s="6" t="n">
        <v>62.76093180272346</v>
      </c>
      <c r="F8" s="11" t="n">
        <v>0.25</v>
      </c>
      <c r="G8" s="2" t="inlineStr">
        <is>
          <t>ok</t>
        </is>
      </c>
    </row>
    <row r="10">
      <c r="A10" s="3" t="inlineStr">
        <is>
          <t>Weights sum</t>
        </is>
      </c>
      <c r="B10" s="12">
        <f>SUM(F5:F8)</f>
        <v/>
      </c>
    </row>
    <row r="11">
      <c r="A11" s="13" t="inlineStr">
        <is>
          <t>Blended fair value (today)</t>
        </is>
      </c>
      <c r="B11" s="14">
        <f>SUMPRODUCT(C5:C8,F5:F8)/SUM(F5:F8)</f>
        <v/>
      </c>
    </row>
    <row r="12">
      <c r="A12" s="3" t="inlineStr">
        <is>
          <t>Cost of equity (Ke)</t>
        </is>
      </c>
      <c r="B12" s="15" t="n">
        <v>0.07519999999999999</v>
      </c>
    </row>
    <row r="13">
      <c r="A13" s="3" t="inlineStr">
        <is>
          <t>Dividends per share (12m)</t>
        </is>
      </c>
      <c r="B13" s="6" t="n">
        <v>2.49</v>
      </c>
    </row>
    <row r="14">
      <c r="A14" s="3" t="inlineStr">
        <is>
          <t>Model 12-month target = FV×(1+Ke)−DPS</t>
        </is>
      </c>
      <c r="B14" s="16">
        <f>$B$11*(1+$B$12)-$B$13</f>
        <v/>
      </c>
    </row>
    <row r="15">
      <c r="A15" s="3" t="inlineStr">
        <is>
          <t>Street mean target</t>
        </is>
      </c>
      <c r="B15" s="6" t="n">
        <v>97.05262999999999</v>
      </c>
    </row>
    <row r="16">
      <c r="A16" s="3" t="inlineStr">
        <is>
          <t>Street weight in target</t>
        </is>
      </c>
      <c r="B16" s="11" t="n">
        <v>0.3</v>
      </c>
    </row>
    <row r="17">
      <c r="A17" s="13" t="inlineStr">
        <is>
          <t>Published 12-month target</t>
        </is>
      </c>
      <c r="B17" s="17">
        <f>(1-$B$16)*$B$14+$B$16*$B$15</f>
        <v/>
      </c>
    </row>
    <row r="18">
      <c r="A18" s="3" t="inlineStr">
        <is>
          <t>Current price</t>
        </is>
      </c>
      <c r="B18" s="6" t="n">
        <v>77.95999999999999</v>
      </c>
    </row>
    <row r="19">
      <c r="A19" s="3" t="inlineStr">
        <is>
          <t>Engine target (incl. plausibility band)</t>
        </is>
      </c>
      <c r="B19" s="6" t="n">
        <v>72.82828642071712</v>
      </c>
    </row>
    <row r="21">
      <c r="A21" s="8" t="inlineStr">
        <is>
          <t>Guardrails</t>
        </is>
      </c>
    </row>
    <row r="22">
      <c r="A22" s="2" t="inlineStr">
        <is>
          <t>Target anchored 30% to the Street consensus ($97.05, 19 analysts); model-only target $62.45.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NEE — projected P&amp;L &amp; levered FCF (DCF base case)</t>
        </is>
      </c>
    </row>
    <row r="2">
      <c r="A2" s="2" t="inlineStr">
        <is>
          <t>Blue = consensus-sourced figures; black = live formulas. Revenue and EBIT margin are the DCF base-case drivers; levered FCF = unlevered FCF less after-tax interest.</t>
        </is>
      </c>
    </row>
    <row r="4">
      <c r="A4" s="9" t="inlineStr">
        <is>
          <t>Line item</t>
        </is>
      </c>
      <c r="B4" s="10" t="inlineStr">
        <is>
          <t>FY2026E</t>
        </is>
      </c>
      <c r="C4" s="10" t="inlineStr">
        <is>
          <t>FY2027E</t>
        </is>
      </c>
      <c r="D4" s="10" t="inlineStr">
        <is>
          <t>FY2028E</t>
        </is>
      </c>
      <c r="E4" s="10" t="inlineStr">
        <is>
          <t>FY2029E</t>
        </is>
      </c>
      <c r="F4" s="10" t="inlineStr">
        <is>
          <t>FY2030E</t>
        </is>
      </c>
      <c r="G4" s="10" t="inlineStr">
        <is>
          <t>FY2031E</t>
        </is>
      </c>
      <c r="H4" s="10" t="inlineStr">
        <is>
          <t>FY2032E</t>
        </is>
      </c>
      <c r="I4" s="10" t="inlineStr">
        <is>
          <t>FY2033E</t>
        </is>
      </c>
      <c r="J4" s="10" t="inlineStr">
        <is>
          <t>FY2034E</t>
        </is>
      </c>
      <c r="K4" s="10" t="inlineStr">
        <is>
          <t>FY2035E</t>
        </is>
      </c>
    </row>
    <row r="5">
      <c r="A5" s="13" t="inlineStr">
        <is>
          <t>Revenue (mn)</t>
        </is>
      </c>
      <c r="B5" s="18" t="n">
        <v>31320.30042</v>
      </c>
      <c r="C5" s="18" t="n">
        <v>34554.84929</v>
      </c>
      <c r="D5" s="19" t="n">
        <v>37278.63750150979</v>
      </c>
      <c r="E5" s="19" t="n">
        <v>39590.40247589282</v>
      </c>
      <c r="F5" s="19" t="n">
        <v>41587.82939338404</v>
      </c>
      <c r="G5" s="19" t="n">
        <v>43355.41313101137</v>
      </c>
      <c r="H5" s="19" t="n">
        <v>44961.10904731906</v>
      </c>
      <c r="I5" s="19" t="n">
        <v>46457.25232805491</v>
      </c>
      <c r="J5" s="19" t="n">
        <v>47883.08614983466</v>
      </c>
      <c r="K5" s="19" t="n">
        <v>49080.16330358053</v>
      </c>
    </row>
    <row r="6">
      <c r="A6" s="3" t="inlineStr">
        <is>
          <t>Revenue growth</t>
        </is>
      </c>
      <c r="B6" s="3" t="inlineStr">
        <is>
          <t>—</t>
        </is>
      </c>
      <c r="C6" s="12">
        <f>C5/B5-1</f>
        <v/>
      </c>
      <c r="D6" s="12">
        <f>D5/C5-1</f>
        <v/>
      </c>
      <c r="E6" s="12">
        <f>E5/D5-1</f>
        <v/>
      </c>
      <c r="F6" s="12">
        <f>F5/E5-1</f>
        <v/>
      </c>
      <c r="G6" s="12">
        <f>G5/F5-1</f>
        <v/>
      </c>
      <c r="H6" s="12">
        <f>H5/G5-1</f>
        <v/>
      </c>
      <c r="I6" s="12">
        <f>I5/H5-1</f>
        <v/>
      </c>
      <c r="J6" s="12">
        <f>J5/I5-1</f>
        <v/>
      </c>
      <c r="K6" s="12">
        <f>K5/J5-1</f>
        <v/>
      </c>
    </row>
    <row r="7">
      <c r="A7" s="3" t="inlineStr">
        <is>
          <t>EBIT margin</t>
        </is>
      </c>
      <c r="B7" s="11" t="n">
        <v>0.4489462405654437</v>
      </c>
      <c r="C7" s="11" t="n">
        <v>0.4310656367945605</v>
      </c>
      <c r="D7" s="11" t="n">
        <v>0.4232629589818619</v>
      </c>
      <c r="E7" s="11" t="n">
        <v>0.4154602811691634</v>
      </c>
      <c r="F7" s="11" t="n">
        <v>0.4076576033564649</v>
      </c>
      <c r="G7" s="11" t="n">
        <v>0.3998549255437664</v>
      </c>
      <c r="H7" s="11" t="n">
        <v>0.3920522477310678</v>
      </c>
      <c r="I7" s="11" t="n">
        <v>0.3842495699183693</v>
      </c>
      <c r="J7" s="11" t="n">
        <v>0.3842495699183693</v>
      </c>
      <c r="K7" s="11" t="n">
        <v>0.3842495699183693</v>
      </c>
    </row>
    <row r="8">
      <c r="A8" s="3" t="inlineStr">
        <is>
          <t>EBIT (mn)</t>
        </is>
      </c>
      <c r="B8" s="19">
        <f>B5*B7</f>
        <v/>
      </c>
      <c r="C8" s="19">
        <f>C5*C7</f>
        <v/>
      </c>
      <c r="D8" s="19">
        <f>D5*D7</f>
        <v/>
      </c>
      <c r="E8" s="19">
        <f>E5*E7</f>
        <v/>
      </c>
      <c r="F8" s="19">
        <f>F5*F7</f>
        <v/>
      </c>
      <c r="G8" s="19">
        <f>G5*G7</f>
        <v/>
      </c>
      <c r="H8" s="19">
        <f>H5*H7</f>
        <v/>
      </c>
      <c r="I8" s="19">
        <f>I5*I7</f>
        <v/>
      </c>
      <c r="J8" s="19">
        <f>J5*J7</f>
        <v/>
      </c>
      <c r="K8" s="19">
        <f>K5*K7</f>
        <v/>
      </c>
    </row>
    <row r="9">
      <c r="A9" s="3" t="inlineStr">
        <is>
          <t>Net income (mn)</t>
        </is>
      </c>
      <c r="B9" s="18" t="n">
        <v>8391.201961998029</v>
      </c>
      <c r="C9" s="18" t="n">
        <v>9128.94987517506</v>
      </c>
      <c r="D9" s="19" t="n">
        <v>9910.011776307001</v>
      </c>
      <c r="E9" s="19" t="n">
        <v>10502.11288155376</v>
      </c>
      <c r="F9" s="19" t="n">
        <v>10948.99645565044</v>
      </c>
      <c r="G9" s="19" t="n">
        <v>11287.04573861909</v>
      </c>
      <c r="H9" s="19" t="n">
        <v>11544.57786276696</v>
      </c>
      <c r="I9" s="19" t="n">
        <v>11742.72684081687</v>
      </c>
      <c r="J9" s="19" t="n">
        <v>12227.2114980328</v>
      </c>
      <c r="K9" s="19" t="n">
        <v>12633.96683349655</v>
      </c>
    </row>
    <row r="10">
      <c r="A10" s="3" t="inlineStr">
        <is>
          <t>EPS</t>
        </is>
      </c>
      <c r="B10" s="16">
        <f>B9*1000000/2085978209.0</f>
        <v/>
      </c>
      <c r="C10" s="16">
        <f>C9*1000000/2085978209.0</f>
        <v/>
      </c>
      <c r="D10" s="16">
        <f>D9*1000000/2085978209.0</f>
        <v/>
      </c>
      <c r="E10" s="16">
        <f>E9*1000000/2085978209.0</f>
        <v/>
      </c>
      <c r="F10" s="16">
        <f>F9*1000000/2085978209.0</f>
        <v/>
      </c>
      <c r="G10" s="16">
        <f>G9*1000000/2085978209.0</f>
        <v/>
      </c>
      <c r="H10" s="16">
        <f>H9*1000000/2085978209.0</f>
        <v/>
      </c>
      <c r="I10" s="16">
        <f>I9*1000000/2085978209.0</f>
        <v/>
      </c>
      <c r="J10" s="16">
        <f>J9*1000000/2085978209.0</f>
        <v/>
      </c>
      <c r="K10" s="16">
        <f>K9*1000000/2085978209.0</f>
        <v/>
      </c>
    </row>
    <row r="12">
      <c r="A12" s="13" t="inlineStr">
        <is>
          <t>Levered FCF (mn)</t>
        </is>
      </c>
      <c r="B12" s="20" t="n">
        <v>3403.138478775069</v>
      </c>
      <c r="C12" s="20" t="n">
        <v>4247.811026022237</v>
      </c>
      <c r="D12" s="20" t="n">
        <v>5248.805180110407</v>
      </c>
      <c r="E12" s="20" t="n">
        <v>6155.14439287035</v>
      </c>
      <c r="F12" s="20" t="n">
        <v>6986.427378130322</v>
      </c>
      <c r="G12" s="20" t="n">
        <v>7762.90160040159</v>
      </c>
      <c r="H12" s="20" t="n">
        <v>8502.64917883479</v>
      </c>
      <c r="I12" s="20" t="n">
        <v>9220.653192066013</v>
      </c>
      <c r="J12" s="20" t="n">
        <v>10259.20668404652</v>
      </c>
      <c r="K12" s="20" t="n">
        <v>11288.34755389243</v>
      </c>
    </row>
    <row r="13">
      <c r="A13" s="3" t="inlineStr">
        <is>
          <t>FCF margin</t>
        </is>
      </c>
      <c r="B13" s="12">
        <f>B12/B5</f>
        <v/>
      </c>
      <c r="C13" s="12">
        <f>C12/C5</f>
        <v/>
      </c>
      <c r="D13" s="12">
        <f>D12/D5</f>
        <v/>
      </c>
      <c r="E13" s="12">
        <f>E12/E5</f>
        <v/>
      </c>
      <c r="F13" s="12">
        <f>F12/F5</f>
        <v/>
      </c>
      <c r="G13" s="12">
        <f>G12/G5</f>
        <v/>
      </c>
      <c r="H13" s="12">
        <f>H12/H5</f>
        <v/>
      </c>
      <c r="I13" s="12">
        <f>I12/I5</f>
        <v/>
      </c>
      <c r="J13" s="12">
        <f>J12/J5</f>
        <v/>
      </c>
      <c r="K13" s="12">
        <f>K12/K5</f>
        <v/>
      </c>
    </row>
    <row r="15">
      <c r="A15" s="2" t="inlineStr">
        <is>
          <t>→ Unlevered FCF (before interest) is what the 'DCF' sheet discounts.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NEE — Assumptions &amp; Drivers</t>
        </is>
      </c>
    </row>
    <row r="2">
      <c r="A2" s="2" t="inlineStr">
        <is>
          <t>Blue cells are inputs — change them and the whole model recalculates. Source: yfinance, retrieved 2026-10-13.</t>
        </is>
      </c>
    </row>
    <row r="4">
      <c r="A4" s="8" t="inlineStr">
        <is>
          <t>Market data</t>
        </is>
      </c>
    </row>
    <row r="5">
      <c r="A5" s="3" t="inlineStr">
        <is>
          <t>Share price (USD)</t>
        </is>
      </c>
      <c r="B5" s="6" t="n">
        <v>77.95999999999999</v>
      </c>
    </row>
    <row r="6">
      <c r="A6" s="3" t="inlineStr">
        <is>
          <t>Diluted shares (mn)</t>
        </is>
      </c>
      <c r="B6" s="18" t="n">
        <v>2085.978209</v>
      </c>
    </row>
    <row r="7">
      <c r="A7" s="3" t="inlineStr">
        <is>
          <t>Total debt (USDmm)</t>
        </is>
      </c>
      <c r="B7" s="18" t="n">
        <v>95619</v>
      </c>
    </row>
    <row r="8">
      <c r="A8" s="3" t="inlineStr">
        <is>
          <t>Cash &amp; ST investments (USDmm)</t>
        </is>
      </c>
      <c r="B8" s="18" t="n">
        <v>2812</v>
      </c>
    </row>
    <row r="9">
      <c r="A9" s="3" t="inlineStr">
        <is>
          <t>Minority interest (USDmm)</t>
        </is>
      </c>
      <c r="B9" s="18" t="n">
        <v>11871</v>
      </c>
    </row>
    <row r="10">
      <c r="A10" s="3" t="inlineStr">
        <is>
          <t>Net debt (USDmm)</t>
        </is>
      </c>
      <c r="B10" s="19">
        <f>Assumptions!$B$7-Assumptions!$B$8</f>
        <v/>
      </c>
    </row>
    <row r="12">
      <c r="A12" s="8" t="inlineStr">
        <is>
          <t>Cost of capital inputs</t>
        </is>
      </c>
    </row>
    <row r="13">
      <c r="A13" s="3" t="inlineStr">
        <is>
          <t>Risk-free rate (Rf)</t>
        </is>
      </c>
      <c r="B13" s="21" t="n">
        <v>0.043</v>
      </c>
    </row>
    <row r="14">
      <c r="A14" s="3" t="inlineStr">
        <is>
          <t>Equity risk premium (ERP)</t>
        </is>
      </c>
      <c r="B14" s="21" t="n">
        <v>0.046</v>
      </c>
    </row>
    <row r="15">
      <c r="A15" s="3" t="inlineStr">
        <is>
          <t>Country risk premium</t>
        </is>
      </c>
      <c r="B15" s="15" t="n">
        <v>0</v>
      </c>
    </row>
    <row r="16">
      <c r="A16" s="3" t="inlineStr">
        <is>
          <t>Size premium</t>
        </is>
      </c>
      <c r="B16" s="15" t="n">
        <v>0</v>
      </c>
    </row>
    <row r="17">
      <c r="A17" s="3" t="inlineStr">
        <is>
          <t>Beta (levered)</t>
        </is>
      </c>
      <c r="B17" s="22" t="n">
        <v>0.7</v>
      </c>
    </row>
    <row r="18">
      <c r="A18" s="3" t="inlineStr">
        <is>
          <t>Pre-tax cost of debt</t>
        </is>
      </c>
      <c r="B18" s="15" t="n">
        <v>0.08299999999999999</v>
      </c>
    </row>
    <row r="19">
      <c r="A19" s="3" t="inlineStr">
        <is>
          <t>Tax rate</t>
        </is>
      </c>
      <c r="B19" s="11" t="n">
        <v>0.1157038669035016</v>
      </c>
    </row>
    <row r="21">
      <c r="A21" s="8" t="inlineStr">
        <is>
          <t>Terminal assumptions</t>
        </is>
      </c>
    </row>
    <row r="22">
      <c r="A22" s="3" t="inlineStr">
        <is>
          <t>Terminal growth (g)</t>
        </is>
      </c>
      <c r="B22" s="21" t="n">
        <v>0.025</v>
      </c>
    </row>
    <row r="24">
      <c r="A24" s="8" t="inlineStr">
        <is>
          <t>Per-year forecast drivers</t>
        </is>
      </c>
    </row>
    <row r="25">
      <c r="A25" s="9" t="inlineStr">
        <is>
          <t>Driver</t>
        </is>
      </c>
      <c r="B25" s="10" t="inlineStr">
        <is>
          <t>FY2026E</t>
        </is>
      </c>
      <c r="C25" s="10" t="inlineStr">
        <is>
          <t>FY2027E</t>
        </is>
      </c>
      <c r="D25" s="10" t="inlineStr">
        <is>
          <t>FY2028E</t>
        </is>
      </c>
      <c r="E25" s="10" t="inlineStr">
        <is>
          <t>FY2029E</t>
        </is>
      </c>
      <c r="F25" s="10" t="inlineStr">
        <is>
          <t>FY2030E</t>
        </is>
      </c>
      <c r="G25" s="10" t="inlineStr">
        <is>
          <t>FY2031E</t>
        </is>
      </c>
      <c r="H25" s="10" t="inlineStr">
        <is>
          <t>FY2032E</t>
        </is>
      </c>
      <c r="I25" s="10" t="inlineStr">
        <is>
          <t>FY2033E</t>
        </is>
      </c>
      <c r="J25" s="10" t="inlineStr">
        <is>
          <t>FY2034E</t>
        </is>
      </c>
      <c r="K25" s="10" t="inlineStr">
        <is>
          <t>FY2035E</t>
        </is>
      </c>
    </row>
    <row r="26">
      <c r="A26" s="3" t="inlineStr">
        <is>
          <t>Revenue growth</t>
        </is>
      </c>
      <c r="B26" s="11" t="n">
        <v>0.1425762593024953</v>
      </c>
      <c r="C26" s="11" t="n">
        <v>0.1032732389736126</v>
      </c>
      <c r="D26" s="11" t="n">
        <v>0.07882506413645499</v>
      </c>
      <c r="E26" s="11" t="n">
        <v>0.06201312948439724</v>
      </c>
      <c r="F26" s="11" t="n">
        <v>0.05045230138055504</v>
      </c>
      <c r="G26" s="11" t="n">
        <v>0.04250242831640837</v>
      </c>
      <c r="H26" s="11" t="n">
        <v>0.03703565023023993</v>
      </c>
      <c r="I26" s="11" t="n">
        <v>0.0332763873587114</v>
      </c>
      <c r="J26" s="11" t="n">
        <v>0.03069130760707328</v>
      </c>
      <c r="K26" s="11" t="n">
        <v>0.025</v>
      </c>
    </row>
    <row r="27">
      <c r="A27" s="3" t="inlineStr">
        <is>
          <t>EBIT margin</t>
        </is>
      </c>
      <c r="B27" s="11" t="n">
        <v>0.4489462405654437</v>
      </c>
      <c r="C27" s="11" t="n">
        <v>0.4310656367945605</v>
      </c>
      <c r="D27" s="11" t="n">
        <v>0.4232629589818619</v>
      </c>
      <c r="E27" s="11" t="n">
        <v>0.4154602811691634</v>
      </c>
      <c r="F27" s="11" t="n">
        <v>0.4076576033564649</v>
      </c>
      <c r="G27" s="11" t="n">
        <v>0.3998549255437664</v>
      </c>
      <c r="H27" s="11" t="n">
        <v>0.3920522477310678</v>
      </c>
      <c r="I27" s="11" t="n">
        <v>0.3842495699183693</v>
      </c>
      <c r="J27" s="11" t="n">
        <v>0.3842495699183693</v>
      </c>
      <c r="K27" s="11" t="n">
        <v>0.3842495699183693</v>
      </c>
    </row>
    <row r="28">
      <c r="A28" s="3" t="inlineStr">
        <is>
          <t>D&amp;A % of revenue</t>
        </is>
      </c>
      <c r="B28" s="11" t="n">
        <v>0.2333279216821367</v>
      </c>
      <c r="C28" s="11" t="n">
        <v>0.2333279216821367</v>
      </c>
      <c r="D28" s="11" t="n">
        <v>0.2333279216821367</v>
      </c>
      <c r="E28" s="11" t="n">
        <v>0.2333279216821367</v>
      </c>
      <c r="F28" s="11" t="n">
        <v>0.2333279216821367</v>
      </c>
      <c r="G28" s="11" t="n">
        <v>0.2333279216821367</v>
      </c>
      <c r="H28" s="11" t="n">
        <v>0.2333279216821367</v>
      </c>
      <c r="I28" s="11" t="n">
        <v>0.2333279216821367</v>
      </c>
      <c r="J28" s="11" t="n">
        <v>0.2333279216821367</v>
      </c>
      <c r="K28" s="11" t="n">
        <v>0.2333279216821367</v>
      </c>
    </row>
    <row r="29">
      <c r="A29" s="3" t="inlineStr">
        <is>
          <t>Capex % of revenue</t>
        </is>
      </c>
      <c r="B29" s="11" t="n">
        <v>0.3716933396666098</v>
      </c>
      <c r="C29" s="11" t="n">
        <v>0.3589119367981365</v>
      </c>
      <c r="D29" s="11" t="n">
        <v>0.3461305339296633</v>
      </c>
      <c r="E29" s="11" t="n">
        <v>0.33334913106119</v>
      </c>
      <c r="F29" s="11" t="n">
        <v>0.3205677281927167</v>
      </c>
      <c r="G29" s="11" t="n">
        <v>0.3077863253242435</v>
      </c>
      <c r="H29" s="11" t="n">
        <v>0.2950049224557702</v>
      </c>
      <c r="I29" s="11" t="n">
        <v>0.282223519587297</v>
      </c>
      <c r="J29" s="11" t="n">
        <v>0.2694421167188237</v>
      </c>
      <c r="K29" s="11" t="n">
        <v>0.2566607138503504</v>
      </c>
    </row>
    <row r="30">
      <c r="A30" s="3" t="inlineStr">
        <is>
          <t>ΔNWC % of Δrevenue</t>
        </is>
      </c>
      <c r="B30" s="11" t="n">
        <v>0.1674428661782339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</cols>
  <sheetData>
    <row r="1">
      <c r="A1" s="1" t="inlineStr">
        <is>
          <t>Cost of capital (CAPM)</t>
        </is>
      </c>
    </row>
    <row r="2">
      <c r="A2" s="2" t="inlineStr">
        <is>
          <t>All formulas reference the Assumptions sheet.</t>
        </is>
      </c>
    </row>
    <row r="4">
      <c r="A4" s="3" t="inlineStr">
        <is>
          <t>Cost of equity (Ke = Rf + β·ERP + CRP + size)</t>
        </is>
      </c>
      <c r="B4" s="7">
        <f>Assumptions!$B$13+Assumptions!$B$17*Assumptions!$B$14+Assumptions!$B$15+Assumptions!$B$16</f>
        <v/>
      </c>
    </row>
    <row r="5">
      <c r="A5" s="3" t="inlineStr">
        <is>
          <t>After-tax cost of debt (Kd·(1−t))</t>
        </is>
      </c>
      <c r="B5" s="7">
        <f>Assumptions!$B$18*(1-Assumptions!$B$19)</f>
        <v/>
      </c>
    </row>
    <row r="6">
      <c r="A6" s="3" t="inlineStr">
        <is>
          <t>Market value of equity (mm)</t>
        </is>
      </c>
      <c r="B6" s="23">
        <f>Assumptions!$B$5*Assumptions!$B$6</f>
        <v/>
      </c>
    </row>
    <row r="7">
      <c r="A7" s="3" t="inlineStr">
        <is>
          <t>Debt (book, mm)</t>
        </is>
      </c>
      <c r="B7" s="23">
        <f>Assumptions!$B$7</f>
        <v/>
      </c>
    </row>
    <row r="8">
      <c r="A8" s="3" t="inlineStr">
        <is>
          <t>Weight of equity</t>
        </is>
      </c>
      <c r="B8" s="12">
        <f>WACC!$B$6/(WACC!$B$6+WACC!$B$7)</f>
        <v/>
      </c>
    </row>
    <row r="9">
      <c r="A9" s="3" t="inlineStr">
        <is>
          <t>Weight of debt</t>
        </is>
      </c>
      <c r="B9" s="12">
        <f>1-WACC!$B$8</f>
        <v/>
      </c>
    </row>
    <row r="10">
      <c r="A10" s="13" t="inlineStr">
        <is>
          <t>WACC</t>
        </is>
      </c>
      <c r="B10" s="24">
        <f>WACC!$B$8*WACC!$B$4+WACC!$B$9*WACC!$B$5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4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Operating model (USDmm)</t>
        </is>
      </c>
    </row>
    <row r="2">
      <c r="A2" s="2" t="inlineStr">
        <is>
          <t>Shaded columns are reported actuals (blue hardcodes, sourced); unshaded are forecast formulas driven by the Assumptions sheet.</t>
        </is>
      </c>
    </row>
    <row r="4">
      <c r="A4" s="9" t="inlineStr">
        <is>
          <t>Line item</t>
        </is>
      </c>
      <c r="B4" s="10" t="inlineStr">
        <is>
          <t>FY2022A</t>
        </is>
      </c>
      <c r="C4" s="10" t="inlineStr">
        <is>
          <t>FY2023A</t>
        </is>
      </c>
      <c r="D4" s="10" t="inlineStr">
        <is>
          <t>FY2024A</t>
        </is>
      </c>
      <c r="E4" s="10" t="inlineStr">
        <is>
          <t>FY2025A</t>
        </is>
      </c>
      <c r="F4" s="10" t="inlineStr">
        <is>
          <t>FY2026E</t>
        </is>
      </c>
      <c r="G4" s="10" t="inlineStr">
        <is>
          <t>FY2027E</t>
        </is>
      </c>
      <c r="H4" s="10" t="inlineStr">
        <is>
          <t>FY2028E</t>
        </is>
      </c>
      <c r="I4" s="10" t="inlineStr">
        <is>
          <t>FY2029E</t>
        </is>
      </c>
      <c r="J4" s="10" t="inlineStr">
        <is>
          <t>FY2030E</t>
        </is>
      </c>
      <c r="K4" s="10" t="inlineStr">
        <is>
          <t>FY2031E</t>
        </is>
      </c>
      <c r="L4" s="10" t="inlineStr">
        <is>
          <t>FY2032E</t>
        </is>
      </c>
      <c r="M4" s="10" t="inlineStr">
        <is>
          <t>FY2033E</t>
        </is>
      </c>
      <c r="N4" s="10" t="inlineStr">
        <is>
          <t>FY2034E</t>
        </is>
      </c>
      <c r="O4" s="10" t="inlineStr">
        <is>
          <t>FY2035E</t>
        </is>
      </c>
    </row>
    <row r="5">
      <c r="A5" s="3" t="inlineStr">
        <is>
          <t>Revenue</t>
        </is>
      </c>
      <c r="B5" s="25" t="n">
        <v>20956</v>
      </c>
      <c r="C5" s="25" t="n">
        <v>28114</v>
      </c>
      <c r="D5" s="25" t="n">
        <v>24753</v>
      </c>
      <c r="E5" s="25" t="n">
        <v>27412</v>
      </c>
      <c r="F5" s="19">
        <f>E5*(1+Assumptions!B$26)</f>
        <v/>
      </c>
      <c r="G5" s="19">
        <f>F5*(1+Assumptions!C$26)</f>
        <v/>
      </c>
      <c r="H5" s="19">
        <f>G5*(1+Assumptions!D$26)</f>
        <v/>
      </c>
      <c r="I5" s="19">
        <f>H5*(1+Assumptions!E$26)</f>
        <v/>
      </c>
      <c r="J5" s="19">
        <f>I5*(1+Assumptions!F$26)</f>
        <v/>
      </c>
      <c r="K5" s="19">
        <f>J5*(1+Assumptions!G$26)</f>
        <v/>
      </c>
      <c r="L5" s="19">
        <f>K5*(1+Assumptions!H$26)</f>
        <v/>
      </c>
      <c r="M5" s="19">
        <f>L5*(1+Assumptions!I$26)</f>
        <v/>
      </c>
      <c r="N5" s="19">
        <f>M5*(1+Assumptions!J$26)</f>
        <v/>
      </c>
      <c r="O5" s="19">
        <f>N5*(1+Assumptions!K$26)</f>
        <v/>
      </c>
    </row>
    <row r="6">
      <c r="A6" s="3" t="inlineStr">
        <is>
          <t xml:space="preserve">  growth %</t>
        </is>
      </c>
      <c r="C6" s="26">
        <f>C5/B5-1</f>
        <v/>
      </c>
      <c r="D6" s="26">
        <f>D5/C5-1</f>
        <v/>
      </c>
      <c r="E6" s="26">
        <f>E5/D5-1</f>
        <v/>
      </c>
      <c r="F6" s="12">
        <f>F5/E5-1</f>
        <v/>
      </c>
      <c r="G6" s="12">
        <f>G5/F5-1</f>
        <v/>
      </c>
      <c r="H6" s="12">
        <f>H5/G5-1</f>
        <v/>
      </c>
      <c r="I6" s="12">
        <f>I5/H5-1</f>
        <v/>
      </c>
      <c r="J6" s="12">
        <f>J5/I5-1</f>
        <v/>
      </c>
      <c r="K6" s="12">
        <f>K5/J5-1</f>
        <v/>
      </c>
      <c r="L6" s="12">
        <f>L5/K5-1</f>
        <v/>
      </c>
      <c r="M6" s="12">
        <f>M5/L5-1</f>
        <v/>
      </c>
      <c r="N6" s="12">
        <f>N5/M5-1</f>
        <v/>
      </c>
      <c r="O6" s="12">
        <f>O5/N5-1</f>
        <v/>
      </c>
    </row>
    <row r="7">
      <c r="A7" s="3" t="inlineStr">
        <is>
          <t>EBIT</t>
        </is>
      </c>
      <c r="B7" s="25" t="n">
        <v>3559</v>
      </c>
      <c r="C7" s="25" t="n">
        <v>9832</v>
      </c>
      <c r="D7" s="25" t="n">
        <v>7127</v>
      </c>
      <c r="E7" s="25" t="n">
        <v>8020</v>
      </c>
      <c r="F7" s="19">
        <f>F5*Assumptions!B$27</f>
        <v/>
      </c>
      <c r="G7" s="19">
        <f>G5*Assumptions!C$27</f>
        <v/>
      </c>
      <c r="H7" s="19">
        <f>H5*Assumptions!D$27</f>
        <v/>
      </c>
      <c r="I7" s="19">
        <f>I5*Assumptions!E$27</f>
        <v/>
      </c>
      <c r="J7" s="19">
        <f>J5*Assumptions!F$27</f>
        <v/>
      </c>
      <c r="K7" s="19">
        <f>K5*Assumptions!G$27</f>
        <v/>
      </c>
      <c r="L7" s="19">
        <f>L5*Assumptions!H$27</f>
        <v/>
      </c>
      <c r="M7" s="19">
        <f>M5*Assumptions!I$27</f>
        <v/>
      </c>
      <c r="N7" s="19">
        <f>N5*Assumptions!J$27</f>
        <v/>
      </c>
      <c r="O7" s="19">
        <f>O5*Assumptions!K$27</f>
        <v/>
      </c>
    </row>
    <row r="8">
      <c r="A8" s="3" t="inlineStr">
        <is>
          <t xml:space="preserve">  EBIT margin %</t>
        </is>
      </c>
      <c r="B8" s="26">
        <f>B7/B5</f>
        <v/>
      </c>
      <c r="C8" s="26">
        <f>C7/C5</f>
        <v/>
      </c>
      <c r="D8" s="26">
        <f>D7/D5</f>
        <v/>
      </c>
      <c r="E8" s="26">
        <f>E7/E5</f>
        <v/>
      </c>
      <c r="F8" s="12">
        <f>F7/F5</f>
        <v/>
      </c>
      <c r="G8" s="12">
        <f>G7/G5</f>
        <v/>
      </c>
      <c r="H8" s="12">
        <f>H7/H5</f>
        <v/>
      </c>
      <c r="I8" s="12">
        <f>I7/I5</f>
        <v/>
      </c>
      <c r="J8" s="12">
        <f>J7/J5</f>
        <v/>
      </c>
      <c r="K8" s="12">
        <f>K7/K5</f>
        <v/>
      </c>
      <c r="L8" s="12">
        <f>L7/L5</f>
        <v/>
      </c>
      <c r="M8" s="12">
        <f>M7/M5</f>
        <v/>
      </c>
      <c r="N8" s="12">
        <f>N7/N5</f>
        <v/>
      </c>
      <c r="O8" s="12">
        <f>O7/O5</f>
        <v/>
      </c>
    </row>
    <row r="9">
      <c r="A9" s="3" t="inlineStr">
        <is>
          <t>D&amp;A</t>
        </is>
      </c>
      <c r="B9" s="25" t="n">
        <v>4790</v>
      </c>
      <c r="C9" s="25" t="n">
        <v>6151</v>
      </c>
      <c r="D9" s="25" t="n">
        <v>5761</v>
      </c>
      <c r="E9" s="25" t="n">
        <v>6941</v>
      </c>
      <c r="F9" s="19">
        <f>F5*Assumptions!B$28</f>
        <v/>
      </c>
      <c r="G9" s="19">
        <f>G5*Assumptions!C$28</f>
        <v/>
      </c>
      <c r="H9" s="19">
        <f>H5*Assumptions!D$28</f>
        <v/>
      </c>
      <c r="I9" s="19">
        <f>I5*Assumptions!E$28</f>
        <v/>
      </c>
      <c r="J9" s="19">
        <f>J5*Assumptions!F$28</f>
        <v/>
      </c>
      <c r="K9" s="19">
        <f>K5*Assumptions!G$28</f>
        <v/>
      </c>
      <c r="L9" s="19">
        <f>L5*Assumptions!H$28</f>
        <v/>
      </c>
      <c r="M9" s="19">
        <f>M5*Assumptions!I$28</f>
        <v/>
      </c>
      <c r="N9" s="19">
        <f>N5*Assumptions!J$28</f>
        <v/>
      </c>
      <c r="O9" s="19">
        <f>O5*Assumptions!K$28</f>
        <v/>
      </c>
    </row>
    <row r="10">
      <c r="A10" s="3" t="inlineStr">
        <is>
          <t>EBITDA</t>
        </is>
      </c>
      <c r="B10" s="27">
        <f>B7+B9</f>
        <v/>
      </c>
      <c r="C10" s="27">
        <f>C7+C9</f>
        <v/>
      </c>
      <c r="D10" s="27">
        <f>D7+D9</f>
        <v/>
      </c>
      <c r="E10" s="27">
        <f>E7+E9</f>
        <v/>
      </c>
      <c r="F10" s="19">
        <f>F7+F9</f>
        <v/>
      </c>
      <c r="G10" s="19">
        <f>G7+G9</f>
        <v/>
      </c>
      <c r="H10" s="19">
        <f>H7+H9</f>
        <v/>
      </c>
      <c r="I10" s="19">
        <f>I7+I9</f>
        <v/>
      </c>
      <c r="J10" s="19">
        <f>J7+J9</f>
        <v/>
      </c>
      <c r="K10" s="19">
        <f>K7+K9</f>
        <v/>
      </c>
      <c r="L10" s="19">
        <f>L7+L9</f>
        <v/>
      </c>
      <c r="M10" s="19">
        <f>M7+M9</f>
        <v/>
      </c>
      <c r="N10" s="19">
        <f>N7+N9</f>
        <v/>
      </c>
      <c r="O10" s="19">
        <f>O7+O9</f>
        <v/>
      </c>
    </row>
    <row r="11">
      <c r="A11" s="3" t="inlineStr">
        <is>
          <t>NOPAT (EBIT×(1−t))</t>
        </is>
      </c>
      <c r="B11" s="28">
        <f>B7*(1-Assumptions!$B$19)</f>
        <v/>
      </c>
      <c r="C11" s="28">
        <f>C7*(1-Assumptions!$B$19)</f>
        <v/>
      </c>
      <c r="D11" s="28">
        <f>D7*(1-Assumptions!$B$19)</f>
        <v/>
      </c>
      <c r="E11" s="28">
        <f>E7*(1-Assumptions!$B$19)</f>
        <v/>
      </c>
      <c r="F11" s="23">
        <f>F7*(1-Assumptions!$B$19)</f>
        <v/>
      </c>
      <c r="G11" s="23">
        <f>G7*(1-Assumptions!$B$19)</f>
        <v/>
      </c>
      <c r="H11" s="23">
        <f>H7*(1-Assumptions!$B$19)</f>
        <v/>
      </c>
      <c r="I11" s="23">
        <f>I7*(1-Assumptions!$B$19)</f>
        <v/>
      </c>
      <c r="J11" s="23">
        <f>J7*(1-Assumptions!$B$19)</f>
        <v/>
      </c>
      <c r="K11" s="23">
        <f>K7*(1-Assumptions!$B$19)</f>
        <v/>
      </c>
      <c r="L11" s="23">
        <f>L7*(1-Assumptions!$B$19)</f>
        <v/>
      </c>
      <c r="M11" s="23">
        <f>M7*(1-Assumptions!$B$19)</f>
        <v/>
      </c>
      <c r="N11" s="23">
        <f>N7*(1-Assumptions!$B$19)</f>
        <v/>
      </c>
      <c r="O11" s="23">
        <f>O7*(1-Assumptions!$B$19)</f>
        <v/>
      </c>
    </row>
    <row r="12">
      <c r="A12" s="3" t="inlineStr">
        <is>
          <t>Capex</t>
        </is>
      </c>
      <c r="B12" s="25" t="n">
        <v>9742</v>
      </c>
      <c r="C12" s="25" t="n">
        <v>9548</v>
      </c>
      <c r="D12" s="25" t="n">
        <v>8514</v>
      </c>
      <c r="E12" s="25" t="n">
        <v>9274</v>
      </c>
      <c r="F12" s="19">
        <f>F5*Assumptions!B$29</f>
        <v/>
      </c>
      <c r="G12" s="19">
        <f>G5*Assumptions!C$29</f>
        <v/>
      </c>
      <c r="H12" s="19">
        <f>H5*Assumptions!D$29</f>
        <v/>
      </c>
      <c r="I12" s="19">
        <f>I5*Assumptions!E$29</f>
        <v/>
      </c>
      <c r="J12" s="19">
        <f>J5*Assumptions!F$29</f>
        <v/>
      </c>
      <c r="K12" s="19">
        <f>K5*Assumptions!G$29</f>
        <v/>
      </c>
      <c r="L12" s="19">
        <f>L5*Assumptions!H$29</f>
        <v/>
      </c>
      <c r="M12" s="19">
        <f>M5*Assumptions!I$29</f>
        <v/>
      </c>
      <c r="N12" s="19">
        <f>N5*Assumptions!J$29</f>
        <v/>
      </c>
      <c r="O12" s="19">
        <f>O5*Assumptions!K$29</f>
        <v/>
      </c>
    </row>
    <row r="13">
      <c r="A13" s="3" t="inlineStr">
        <is>
          <t>Δ Net working capital</t>
        </is>
      </c>
      <c r="B13" s="25" t="n">
        <v>-412</v>
      </c>
      <c r="C13" s="25" t="n">
        <v>1393</v>
      </c>
      <c r="D13" s="25" t="n">
        <v>-160</v>
      </c>
      <c r="E13" s="25" t="n">
        <v>373</v>
      </c>
      <c r="F13" s="19">
        <f>(F5-E5)*Assumptions!$B$30</f>
        <v/>
      </c>
      <c r="G13" s="19">
        <f>(G5-F5)*Assumptions!$B$30</f>
        <v/>
      </c>
      <c r="H13" s="19">
        <f>(H5-G5)*Assumptions!$B$30</f>
        <v/>
      </c>
      <c r="I13" s="19">
        <f>(I5-H5)*Assumptions!$B$30</f>
        <v/>
      </c>
      <c r="J13" s="19">
        <f>(J5-I5)*Assumptions!$B$30</f>
        <v/>
      </c>
      <c r="K13" s="19">
        <f>(K5-J5)*Assumptions!$B$30</f>
        <v/>
      </c>
      <c r="L13" s="19">
        <f>(L5-K5)*Assumptions!$B$30</f>
        <v/>
      </c>
      <c r="M13" s="19">
        <f>(M5-L5)*Assumptions!$B$30</f>
        <v/>
      </c>
      <c r="N13" s="19">
        <f>(N5-M5)*Assumptions!$B$30</f>
        <v/>
      </c>
      <c r="O13" s="19">
        <f>(O5-N5)*Assumptions!$B$30</f>
        <v/>
      </c>
    </row>
    <row r="14">
      <c r="A14" s="13" t="inlineStr">
        <is>
          <t>FCFF</t>
        </is>
      </c>
      <c r="B14" s="29">
        <f>B11+B9-B12-B13</f>
        <v/>
      </c>
      <c r="C14" s="29">
        <f>C11+C9-C12-C13</f>
        <v/>
      </c>
      <c r="D14" s="29">
        <f>D11+D9-D12-D13</f>
        <v/>
      </c>
      <c r="E14" s="29">
        <f>E11+E9-E12-E13</f>
        <v/>
      </c>
      <c r="F14" s="30">
        <f>F11+F9-F12-F13</f>
        <v/>
      </c>
      <c r="G14" s="30">
        <f>G11+G9-G12-G13</f>
        <v/>
      </c>
      <c r="H14" s="30">
        <f>H11+H9-H12-H13</f>
        <v/>
      </c>
      <c r="I14" s="30">
        <f>I11+I9-I12-I13</f>
        <v/>
      </c>
      <c r="J14" s="30">
        <f>J11+J9-J12-J13</f>
        <v/>
      </c>
      <c r="K14" s="30">
        <f>K11+K9-K12-K13</f>
        <v/>
      </c>
      <c r="L14" s="30">
        <f>L11+L9-L12-L13</f>
        <v/>
      </c>
      <c r="M14" s="30">
        <f>M11+M9-M12-M13</f>
        <v/>
      </c>
      <c r="N14" s="30">
        <f>N11+N9-N12-N13</f>
        <v/>
      </c>
      <c r="O14" s="30">
        <f>O11+O9-O12-O13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5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Discounted cash flow (USDmm)</t>
        </is>
      </c>
    </row>
    <row r="2">
      <c r="A2" s="2" t="inlineStr">
        <is>
          <t>Mid-year convention. Terminal value is reinvestment-consistent: TV = NOPATn·(1+g)·(1−g/ROIC)/(WACC−g).</t>
        </is>
      </c>
    </row>
    <row r="4">
      <c r="A4" s="9" t="inlineStr">
        <is>
          <t>Year</t>
        </is>
      </c>
      <c r="B4" s="10" t="inlineStr">
        <is>
          <t>FY2026E</t>
        </is>
      </c>
      <c r="C4" s="10" t="inlineStr">
        <is>
          <t>FY2027E</t>
        </is>
      </c>
      <c r="D4" s="10" t="inlineStr">
        <is>
          <t>FY2028E</t>
        </is>
      </c>
      <c r="E4" s="10" t="inlineStr">
        <is>
          <t>FY2029E</t>
        </is>
      </c>
      <c r="F4" s="10" t="inlineStr">
        <is>
          <t>FY2030E</t>
        </is>
      </c>
      <c r="G4" s="10" t="inlineStr">
        <is>
          <t>FY2031E</t>
        </is>
      </c>
      <c r="H4" s="10" t="inlineStr">
        <is>
          <t>FY2032E</t>
        </is>
      </c>
      <c r="I4" s="10" t="inlineStr">
        <is>
          <t>FY2033E</t>
        </is>
      </c>
      <c r="J4" s="10" t="inlineStr">
        <is>
          <t>FY2034E</t>
        </is>
      </c>
      <c r="K4" s="10" t="inlineStr">
        <is>
          <t>FY2035E</t>
        </is>
      </c>
    </row>
    <row r="5">
      <c r="A5" s="3" t="inlineStr">
        <is>
          <t>FCFF (from Model)</t>
        </is>
      </c>
      <c r="B5" s="23">
        <f>Model!F14</f>
        <v/>
      </c>
      <c r="C5" s="23">
        <f>Model!G14</f>
        <v/>
      </c>
      <c r="D5" s="23">
        <f>Model!H14</f>
        <v/>
      </c>
      <c r="E5" s="23">
        <f>Model!I14</f>
        <v/>
      </c>
      <c r="F5" s="23">
        <f>Model!J14</f>
        <v/>
      </c>
      <c r="G5" s="23">
        <f>Model!K14</f>
        <v/>
      </c>
      <c r="H5" s="23">
        <f>Model!L14</f>
        <v/>
      </c>
      <c r="I5" s="23">
        <f>Model!M14</f>
        <v/>
      </c>
      <c r="J5" s="23">
        <f>Model!N14</f>
        <v/>
      </c>
      <c r="K5" s="23">
        <f>Model!O14</f>
        <v/>
      </c>
    </row>
    <row r="6">
      <c r="A6" s="3" t="inlineStr">
        <is>
          <t>Period (mid-year, t−0.5)</t>
        </is>
      </c>
      <c r="B6" s="31" t="n">
        <v>0.5</v>
      </c>
      <c r="C6" s="31" t="n">
        <v>1.5</v>
      </c>
      <c r="D6" s="31" t="n">
        <v>2.5</v>
      </c>
      <c r="E6" s="31" t="n">
        <v>3.5</v>
      </c>
      <c r="F6" s="31" t="n">
        <v>4.5</v>
      </c>
      <c r="G6" s="31" t="n">
        <v>5.5</v>
      </c>
      <c r="H6" s="31" t="n">
        <v>6.5</v>
      </c>
      <c r="I6" s="31" t="n">
        <v>7.5</v>
      </c>
      <c r="J6" s="31" t="n">
        <v>8.5</v>
      </c>
      <c r="K6" s="31" t="n">
        <v>9.5</v>
      </c>
    </row>
    <row r="7">
      <c r="A7" s="3" t="inlineStr">
        <is>
          <t>Discount factor</t>
        </is>
      </c>
      <c r="B7" s="32">
        <f>1/(1+WACC!$B$10)^B6</f>
        <v/>
      </c>
      <c r="C7" s="32">
        <f>1/(1+WACC!$B$10)^C6</f>
        <v/>
      </c>
      <c r="D7" s="32">
        <f>1/(1+WACC!$B$10)^D6</f>
        <v/>
      </c>
      <c r="E7" s="32">
        <f>1/(1+WACC!$B$10)^E6</f>
        <v/>
      </c>
      <c r="F7" s="32">
        <f>1/(1+WACC!$B$10)^F6</f>
        <v/>
      </c>
      <c r="G7" s="32">
        <f>1/(1+WACC!$B$10)^G6</f>
        <v/>
      </c>
      <c r="H7" s="32">
        <f>1/(1+WACC!$B$10)^H6</f>
        <v/>
      </c>
      <c r="I7" s="32">
        <f>1/(1+WACC!$B$10)^I6</f>
        <v/>
      </c>
      <c r="J7" s="32">
        <f>1/(1+WACC!$B$10)^J6</f>
        <v/>
      </c>
      <c r="K7" s="32">
        <f>1/(1+WACC!$B$10)^K6</f>
        <v/>
      </c>
    </row>
    <row r="8">
      <c r="A8" s="3" t="inlineStr">
        <is>
          <t>PV of FCFF</t>
        </is>
      </c>
      <c r="B8" s="19">
        <f>B5*B7</f>
        <v/>
      </c>
      <c r="C8" s="19">
        <f>C5*C7</f>
        <v/>
      </c>
      <c r="D8" s="19">
        <f>D5*D7</f>
        <v/>
      </c>
      <c r="E8" s="19">
        <f>E5*E7</f>
        <v/>
      </c>
      <c r="F8" s="19">
        <f>F5*F7</f>
        <v/>
      </c>
      <c r="G8" s="19">
        <f>G5*G7</f>
        <v/>
      </c>
      <c r="H8" s="19">
        <f>H5*H7</f>
        <v/>
      </c>
      <c r="I8" s="19">
        <f>I5*I7</f>
        <v/>
      </c>
      <c r="J8" s="19">
        <f>J5*J7</f>
        <v/>
      </c>
      <c r="K8" s="19">
        <f>K5*K7</f>
        <v/>
      </c>
    </row>
    <row r="10">
      <c r="A10" s="3" t="inlineStr">
        <is>
          <t>PV of explicit FCFF</t>
        </is>
      </c>
      <c r="B10" s="19">
        <f>SUM(B8:K8)</f>
        <v/>
      </c>
    </row>
    <row r="11">
      <c r="A11" s="3" t="inlineStr">
        <is>
          <t>Terminal NOPAT (FYn)</t>
        </is>
      </c>
      <c r="B11" s="23">
        <f>Model!O11</f>
        <v/>
      </c>
    </row>
    <row r="12">
      <c r="A12" s="3" t="inlineStr">
        <is>
          <t>Invested capital (mm)</t>
        </is>
      </c>
      <c r="B12" s="18" t="n">
        <v>147415</v>
      </c>
    </row>
    <row r="13">
      <c r="A13" s="3" t="inlineStr">
        <is>
          <t>Terminal invested capital (scaled w/ revenue)</t>
        </is>
      </c>
      <c r="B13" s="23">
        <f>$B$12*Model!O5/Model!E5</f>
        <v/>
      </c>
    </row>
    <row r="14">
      <c r="A14" s="3" t="inlineStr">
        <is>
          <t>Terminal ROIC</t>
        </is>
      </c>
      <c r="B14" s="12">
        <f>MAX($B$11/$B$13,WACC!$B$10)</f>
        <v/>
      </c>
    </row>
    <row r="15">
      <c r="A15" s="3" t="inlineStr">
        <is>
          <t>Terminal reinvestment rate (g/ROIC)</t>
        </is>
      </c>
      <c r="B15" s="33">
        <f>Assumptions!$B$22/$B$14</f>
        <v/>
      </c>
    </row>
    <row r="16">
      <c r="A16" s="3" t="inlineStr">
        <is>
          <t>Terminal value (Gordon)</t>
        </is>
      </c>
      <c r="B16" s="19">
        <f>$B$11*(1+Assumptions!$B$22)*(1-$B$15)/(WACC!$B$10-Assumptions!$B$22)</f>
        <v/>
      </c>
    </row>
    <row r="17">
      <c r="A17" s="3" t="inlineStr">
        <is>
          <t>PV of terminal value</t>
        </is>
      </c>
      <c r="B17" s="19">
        <f>$B$16/(1+WACC!$B$10)^(10-0.5)</f>
        <v/>
      </c>
    </row>
    <row r="18">
      <c r="A18" s="3" t="inlineStr">
        <is>
          <t>TV as % of EV</t>
        </is>
      </c>
      <c r="B18" s="12">
        <f>$B$17/($B$10+$B$17)</f>
        <v/>
      </c>
    </row>
    <row r="20">
      <c r="A20" s="13" t="inlineStr">
        <is>
          <t>Enterprise value</t>
        </is>
      </c>
      <c r="B20" s="30">
        <f>$B$10+$B$17</f>
        <v/>
      </c>
    </row>
    <row r="21">
      <c r="A21" s="3" t="inlineStr">
        <is>
          <t>(−) Net debt</t>
        </is>
      </c>
      <c r="B21" s="23">
        <f>-Assumptions!$B$10</f>
        <v/>
      </c>
    </row>
    <row r="22">
      <c r="A22" s="3" t="inlineStr">
        <is>
          <t>(−) Minority interest</t>
        </is>
      </c>
      <c r="B22" s="23">
        <f>-Assumptions!$B$9</f>
        <v/>
      </c>
    </row>
    <row r="23">
      <c r="A23" s="13" t="inlineStr">
        <is>
          <t>Equity value</t>
        </is>
      </c>
      <c r="B23" s="30">
        <f>$B$20-Assumptions!$B$10-Assumptions!$B$9</f>
        <v/>
      </c>
    </row>
    <row r="24">
      <c r="A24" s="13" t="inlineStr">
        <is>
          <t>Value per share</t>
        </is>
      </c>
      <c r="B24" s="34">
        <f>$B$23/Assumptions!$B$6</f>
        <v/>
      </c>
    </row>
    <row r="25">
      <c r="A25" s="13" t="inlineStr">
        <is>
          <t>Upside vs price</t>
        </is>
      </c>
      <c r="B25" s="35">
        <f>$B$24/Assumptions!$B$5-1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</cols>
  <sheetData>
    <row r="1">
      <c r="A1" s="1" t="inlineStr">
        <is>
          <t>Value per share — WACC × terminal growth (USD/share)</t>
        </is>
      </c>
    </row>
    <row r="2">
      <c r="A2" s="2" t="inlineStr">
        <is>
          <t>Every cell is a live formula; it re-runs the full DCF at that WACC/g pair.</t>
        </is>
      </c>
    </row>
    <row r="4">
      <c r="A4" s="13" t="inlineStr">
        <is>
          <t>WACC \ g</t>
        </is>
      </c>
      <c r="B4" s="11" t="n">
        <v>0.015</v>
      </c>
      <c r="C4" s="11" t="n">
        <v>0.02</v>
      </c>
      <c r="D4" s="11" t="n">
        <v>0.025</v>
      </c>
      <c r="E4" s="11" t="n">
        <v>0.03</v>
      </c>
      <c r="F4" s="11" t="n">
        <v>0.035</v>
      </c>
    </row>
    <row r="5">
      <c r="A5" s="15" t="n">
        <v>0.05953224882870339</v>
      </c>
      <c r="B5" s="16">
        <f>(SUMPRODUCT(DCF!$B$5:$K$5,1/(1+$A$5)^DCF!$B$6:$K$6)+DCF!$B$11*(1+B$4)*(1-B$4/DCF!$B$14)/($A$5-B$4)/(1+$A$5)^(10-0.5)-Assumptions!$B$10-Assumptions!$B$9)/Assumptions!$B$6</f>
        <v/>
      </c>
      <c r="C5" s="16">
        <f>(SUMPRODUCT(DCF!$B$5:$K$5,1/(1+$A$5)^DCF!$B$6:$K$6)+DCF!$B$11*(1+C$4)*(1-C$4/DCF!$B$14)/($A$5-C$4)/(1+$A$5)^(10-0.5)-Assumptions!$B$10-Assumptions!$B$9)/Assumptions!$B$6</f>
        <v/>
      </c>
      <c r="D5" s="16">
        <f>(SUMPRODUCT(DCF!$B$5:$K$5,1/(1+$A$5)^DCF!$B$6:$K$6)+DCF!$B$11*(1+D$4)*(1-D$4/DCF!$B$14)/($A$5-D$4)/(1+$A$5)^(10-0.5)-Assumptions!$B$10-Assumptions!$B$9)/Assumptions!$B$6</f>
        <v/>
      </c>
      <c r="E5" s="16">
        <f>(SUMPRODUCT(DCF!$B$5:$K$5,1/(1+$A$5)^DCF!$B$6:$K$6)+DCF!$B$11*(1+E$4)*(1-E$4/DCF!$B$14)/($A$5-E$4)/(1+$A$5)^(10-0.5)-Assumptions!$B$10-Assumptions!$B$9)/Assumptions!$B$6</f>
        <v/>
      </c>
      <c r="F5" s="16">
        <f>(SUMPRODUCT(DCF!$B$5:$K$5,1/(1+$A$5)^DCF!$B$6:$K$6)+DCF!$B$11*(1+F$4)*(1-F$4/DCF!$B$14)/($A$5-F$4)/(1+$A$5)^(10-0.5)-Assumptions!$B$10-Assumptions!$B$9)/Assumptions!$B$6</f>
        <v/>
      </c>
    </row>
    <row r="6">
      <c r="A6" s="15" t="n">
        <v>0.0670322488287034</v>
      </c>
      <c r="B6" s="16">
        <f>(SUMPRODUCT(DCF!$B$5:$K$5,1/(1+$A$6)^DCF!$B$6:$K$6)+DCF!$B$11*(1+B$4)*(1-B$4/DCF!$B$14)/($A$6-B$4)/(1+$A$6)^(10-0.5)-Assumptions!$B$10-Assumptions!$B$9)/Assumptions!$B$6</f>
        <v/>
      </c>
      <c r="C6" s="16">
        <f>(SUMPRODUCT(DCF!$B$5:$K$5,1/(1+$A$6)^DCF!$B$6:$K$6)+DCF!$B$11*(1+C$4)*(1-C$4/DCF!$B$14)/($A$6-C$4)/(1+$A$6)^(10-0.5)-Assumptions!$B$10-Assumptions!$B$9)/Assumptions!$B$6</f>
        <v/>
      </c>
      <c r="D6" s="16">
        <f>(SUMPRODUCT(DCF!$B$5:$K$5,1/(1+$A$6)^DCF!$B$6:$K$6)+DCF!$B$11*(1+D$4)*(1-D$4/DCF!$B$14)/($A$6-D$4)/(1+$A$6)^(10-0.5)-Assumptions!$B$10-Assumptions!$B$9)/Assumptions!$B$6</f>
        <v/>
      </c>
      <c r="E6" s="16">
        <f>(SUMPRODUCT(DCF!$B$5:$K$5,1/(1+$A$6)^DCF!$B$6:$K$6)+DCF!$B$11*(1+E$4)*(1-E$4/DCF!$B$14)/($A$6-E$4)/(1+$A$6)^(10-0.5)-Assumptions!$B$10-Assumptions!$B$9)/Assumptions!$B$6</f>
        <v/>
      </c>
      <c r="F6" s="16">
        <f>(SUMPRODUCT(DCF!$B$5:$K$5,1/(1+$A$6)^DCF!$B$6:$K$6)+DCF!$B$11*(1+F$4)*(1-F$4/DCF!$B$14)/($A$6-F$4)/(1+$A$6)^(10-0.5)-Assumptions!$B$10-Assumptions!$B$9)/Assumptions!$B$6</f>
        <v/>
      </c>
    </row>
    <row r="7">
      <c r="A7" s="15" t="n">
        <v>0.07453224882870339</v>
      </c>
      <c r="B7" s="16">
        <f>(SUMPRODUCT(DCF!$B$5:$K$5,1/(1+$A$7)^DCF!$B$6:$K$6)+DCF!$B$11*(1+B$4)*(1-B$4/DCF!$B$14)/($A$7-B$4)/(1+$A$7)^(10-0.5)-Assumptions!$B$10-Assumptions!$B$9)/Assumptions!$B$6</f>
        <v/>
      </c>
      <c r="C7" s="16">
        <f>(SUMPRODUCT(DCF!$B$5:$K$5,1/(1+$A$7)^DCF!$B$6:$K$6)+DCF!$B$11*(1+C$4)*(1-C$4/DCF!$B$14)/($A$7-C$4)/(1+$A$7)^(10-0.5)-Assumptions!$B$10-Assumptions!$B$9)/Assumptions!$B$6</f>
        <v/>
      </c>
      <c r="D7" s="16">
        <f>(SUMPRODUCT(DCF!$B$5:$K$5,1/(1+$A$7)^DCF!$B$6:$K$6)+DCF!$B$11*(1+D$4)*(1-D$4/DCF!$B$14)/($A$7-D$4)/(1+$A$7)^(10-0.5)-Assumptions!$B$10-Assumptions!$B$9)/Assumptions!$B$6</f>
        <v/>
      </c>
      <c r="E7" s="16">
        <f>(SUMPRODUCT(DCF!$B$5:$K$5,1/(1+$A$7)^DCF!$B$6:$K$6)+DCF!$B$11*(1+E$4)*(1-E$4/DCF!$B$14)/($A$7-E$4)/(1+$A$7)^(10-0.5)-Assumptions!$B$10-Assumptions!$B$9)/Assumptions!$B$6</f>
        <v/>
      </c>
      <c r="F7" s="16">
        <f>(SUMPRODUCT(DCF!$B$5:$K$5,1/(1+$A$7)^DCF!$B$6:$K$6)+DCF!$B$11*(1+F$4)*(1-F$4/DCF!$B$14)/($A$7-F$4)/(1+$A$7)^(10-0.5)-Assumptions!$B$10-Assumptions!$B$9)/Assumptions!$B$6</f>
        <v/>
      </c>
    </row>
    <row r="8">
      <c r="A8" s="15" t="n">
        <v>0.08203224882870339</v>
      </c>
      <c r="B8" s="16">
        <f>(SUMPRODUCT(DCF!$B$5:$K$5,1/(1+$A$8)^DCF!$B$6:$K$6)+DCF!$B$11*(1+B$4)*(1-B$4/DCF!$B$14)/($A$8-B$4)/(1+$A$8)^(10-0.5)-Assumptions!$B$10-Assumptions!$B$9)/Assumptions!$B$6</f>
        <v/>
      </c>
      <c r="C8" s="16">
        <f>(SUMPRODUCT(DCF!$B$5:$K$5,1/(1+$A$8)^DCF!$B$6:$K$6)+DCF!$B$11*(1+C$4)*(1-C$4/DCF!$B$14)/($A$8-C$4)/(1+$A$8)^(10-0.5)-Assumptions!$B$10-Assumptions!$B$9)/Assumptions!$B$6</f>
        <v/>
      </c>
      <c r="D8" s="16">
        <f>(SUMPRODUCT(DCF!$B$5:$K$5,1/(1+$A$8)^DCF!$B$6:$K$6)+DCF!$B$11*(1+D$4)*(1-D$4/DCF!$B$14)/($A$8-D$4)/(1+$A$8)^(10-0.5)-Assumptions!$B$10-Assumptions!$B$9)/Assumptions!$B$6</f>
        <v/>
      </c>
      <c r="E8" s="16">
        <f>(SUMPRODUCT(DCF!$B$5:$K$5,1/(1+$A$8)^DCF!$B$6:$K$6)+DCF!$B$11*(1+E$4)*(1-E$4/DCF!$B$14)/($A$8-E$4)/(1+$A$8)^(10-0.5)-Assumptions!$B$10-Assumptions!$B$9)/Assumptions!$B$6</f>
        <v/>
      </c>
      <c r="F8" s="16">
        <f>(SUMPRODUCT(DCF!$B$5:$K$5,1/(1+$A$8)^DCF!$B$6:$K$6)+DCF!$B$11*(1+F$4)*(1-F$4/DCF!$B$14)/($A$8-F$4)/(1+$A$8)^(10-0.5)-Assumptions!$B$10-Assumptions!$B$9)/Assumptions!$B$6</f>
        <v/>
      </c>
    </row>
    <row r="9">
      <c r="A9" s="15" t="n">
        <v>0.08953224882870339</v>
      </c>
      <c r="B9" s="16">
        <f>(SUMPRODUCT(DCF!$B$5:$K$5,1/(1+$A$9)^DCF!$B$6:$K$6)+DCF!$B$11*(1+B$4)*(1-B$4/DCF!$B$14)/($A$9-B$4)/(1+$A$9)^(10-0.5)-Assumptions!$B$10-Assumptions!$B$9)/Assumptions!$B$6</f>
        <v/>
      </c>
      <c r="C9" s="16">
        <f>(SUMPRODUCT(DCF!$B$5:$K$5,1/(1+$A$9)^DCF!$B$6:$K$6)+DCF!$B$11*(1+C$4)*(1-C$4/DCF!$B$14)/($A$9-C$4)/(1+$A$9)^(10-0.5)-Assumptions!$B$10-Assumptions!$B$9)/Assumptions!$B$6</f>
        <v/>
      </c>
      <c r="D9" s="16">
        <f>(SUMPRODUCT(DCF!$B$5:$K$5,1/(1+$A$9)^DCF!$B$6:$K$6)+DCF!$B$11*(1+D$4)*(1-D$4/DCF!$B$14)/($A$9-D$4)/(1+$A$9)^(10-0.5)-Assumptions!$B$10-Assumptions!$B$9)/Assumptions!$B$6</f>
        <v/>
      </c>
      <c r="E9" s="16">
        <f>(SUMPRODUCT(DCF!$B$5:$K$5,1/(1+$A$9)^DCF!$B$6:$K$6)+DCF!$B$11*(1+E$4)*(1-E$4/DCF!$B$14)/($A$9-E$4)/(1+$A$9)^(10-0.5)-Assumptions!$B$10-Assumptions!$B$9)/Assumptions!$B$6</f>
        <v/>
      </c>
      <c r="F9" s="16">
        <f>(SUMPRODUCT(DCF!$B$5:$K$5,1/(1+$A$9)^DCF!$B$6:$K$6)+DCF!$B$11*(1+F$4)*(1-F$4/DCF!$B$14)/($A$9-F$4)/(1+$A$9)^(10-0.5)-Assumptions!$B$10-Assumptions!$B$9)/Assumptions!$B$6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Multi-stage dividend discount</t>
        </is>
      </c>
    </row>
    <row r="2">
      <c r="A2" s="2" t="inlineStr">
        <is>
          <t>Dividends fade from the retention-implied growth to terminal g, at Ke.</t>
        </is>
      </c>
    </row>
    <row r="4">
      <c r="A4" s="3" t="inlineStr">
        <is>
          <t>Current DPS (USD)</t>
        </is>
      </c>
      <c r="B4" s="6" t="n">
        <v>2.49</v>
      </c>
    </row>
    <row r="5">
      <c r="A5" s="3" t="inlineStr">
        <is>
          <t>Near-term dividend growth</t>
        </is>
      </c>
      <c r="B5" s="36" t="n">
        <v>0.06</v>
      </c>
    </row>
    <row r="6">
      <c r="A6" s="3" t="inlineStr">
        <is>
          <t>Terminal growth</t>
        </is>
      </c>
      <c r="B6" s="33">
        <f>Assumptions!$B$22</f>
        <v/>
      </c>
    </row>
    <row r="7">
      <c r="A7" s="3" t="inlineStr">
        <is>
          <t>Cost of equity (Ke)</t>
        </is>
      </c>
      <c r="B7" s="7">
        <f>WACC!$B$4</f>
        <v/>
      </c>
    </row>
    <row r="9">
      <c r="A9" s="9" t="inlineStr">
        <is>
          <t>Year</t>
        </is>
      </c>
      <c r="B9" s="10" t="inlineStr">
        <is>
          <t>Y1</t>
        </is>
      </c>
      <c r="C9" s="10" t="inlineStr">
        <is>
          <t>Y2</t>
        </is>
      </c>
      <c r="D9" s="10" t="inlineStr">
        <is>
          <t>Y3</t>
        </is>
      </c>
      <c r="E9" s="10" t="inlineStr">
        <is>
          <t>Y4</t>
        </is>
      </c>
      <c r="F9" s="10" t="inlineStr">
        <is>
          <t>Y5</t>
        </is>
      </c>
      <c r="G9" s="10" t="inlineStr">
        <is>
          <t>Y6</t>
        </is>
      </c>
    </row>
    <row r="10">
      <c r="A10" s="3" t="inlineStr">
        <is>
          <t>Growth (fade)</t>
        </is>
      </c>
      <c r="B10" s="12">
        <f>$B$5+($B$6-$B$5)*0/5</f>
        <v/>
      </c>
      <c r="C10" s="12">
        <f>$B$5+($B$6-$B$5)*1/5</f>
        <v/>
      </c>
      <c r="D10" s="12">
        <f>$B$5+($B$6-$B$5)*2/5</f>
        <v/>
      </c>
      <c r="E10" s="12">
        <f>$B$5+($B$6-$B$5)*3/5</f>
        <v/>
      </c>
      <c r="F10" s="12">
        <f>$B$5+($B$6-$B$5)*4/5</f>
        <v/>
      </c>
      <c r="G10" s="12">
        <f>$B$5+($B$6-$B$5)*5/5</f>
        <v/>
      </c>
    </row>
    <row r="11">
      <c r="A11" s="3" t="inlineStr">
        <is>
          <t>DPS</t>
        </is>
      </c>
      <c r="B11" s="16">
        <f>$B$4*(1+B10)</f>
        <v/>
      </c>
      <c r="C11" s="16">
        <f>B11*(1+C10)</f>
        <v/>
      </c>
      <c r="D11" s="16">
        <f>C11*(1+D10)</f>
        <v/>
      </c>
      <c r="E11" s="16">
        <f>D11*(1+E10)</f>
        <v/>
      </c>
      <c r="F11" s="16">
        <f>E11*(1+F10)</f>
        <v/>
      </c>
      <c r="G11" s="16">
        <f>F11*(1+G10)</f>
        <v/>
      </c>
    </row>
    <row r="12">
      <c r="A12" s="3" t="inlineStr">
        <is>
          <t>PV of DPS</t>
        </is>
      </c>
      <c r="B12" s="16">
        <f>B11/(1+$B$7)^1</f>
        <v/>
      </c>
      <c r="C12" s="16">
        <f>C11/(1+$B$7)^2</f>
        <v/>
      </c>
      <c r="D12" s="16">
        <f>D11/(1+$B$7)^3</f>
        <v/>
      </c>
      <c r="E12" s="16">
        <f>E11/(1+$B$7)^4</f>
        <v/>
      </c>
      <c r="F12" s="16">
        <f>F11/(1+$B$7)^5</f>
        <v/>
      </c>
      <c r="G12" s="16">
        <f>G11/(1+$B$7)^6</f>
        <v/>
      </c>
    </row>
    <row r="14">
      <c r="A14" s="3" t="inlineStr">
        <is>
          <t>PV explicit dividends</t>
        </is>
      </c>
      <c r="B14" s="16">
        <f>SUM(B12:G12)</f>
        <v/>
      </c>
    </row>
    <row r="15">
      <c r="A15" s="3" t="inlineStr">
        <is>
          <t>PV terminal value</t>
        </is>
      </c>
      <c r="B15" s="16">
        <f>G11*(1+$B$6)/($B$7-$B$6)/(1+$B$7)^6</f>
        <v/>
      </c>
    </row>
    <row r="16">
      <c r="A16" s="13" t="inlineStr">
        <is>
          <t>Value per share</t>
        </is>
      </c>
      <c r="B16" s="17">
        <f>$B$14+$B$15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1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NEE — IS (reported)</t>
        </is>
      </c>
    </row>
    <row r="2">
      <c r="A2" s="2" t="inlineStr">
        <is>
          <t>As reported by yfinance (USDmm). Hardcoded actuals.</t>
        </is>
      </c>
    </row>
    <row r="4">
      <c r="A4" s="9" t="inlineStr">
        <is>
          <t>Line item</t>
        </is>
      </c>
      <c r="B4" s="10" t="inlineStr">
        <is>
          <t>FY2021</t>
        </is>
      </c>
      <c r="C4" s="10" t="inlineStr">
        <is>
          <t>FY2022</t>
        </is>
      </c>
      <c r="D4" s="10" t="inlineStr">
        <is>
          <t>FY2023</t>
        </is>
      </c>
      <c r="E4" s="10" t="inlineStr">
        <is>
          <t>FY2024</t>
        </is>
      </c>
      <c r="F4" s="10" t="inlineStr">
        <is>
          <t>FY2025</t>
        </is>
      </c>
    </row>
    <row r="5">
      <c r="A5" s="3" t="inlineStr">
        <is>
          <t>Tax Effect Of Unusual Items</t>
        </is>
      </c>
      <c r="C5" s="25" t="n">
        <v>21.573</v>
      </c>
      <c r="D5" s="25" t="n">
        <v>95.08199999999999</v>
      </c>
      <c r="E5" s="25" t="n">
        <v>34.832</v>
      </c>
      <c r="F5" s="25" t="n">
        <v>139.6122</v>
      </c>
    </row>
    <row r="6">
      <c r="A6" s="3" t="inlineStr">
        <is>
          <t>Tax Rate For Calcs</t>
        </is>
      </c>
      <c r="C6" s="25" t="n">
        <v>1.53e-07</v>
      </c>
      <c r="D6" s="25" t="n">
        <v>1.38e-07</v>
      </c>
      <c r="E6" s="25" t="n">
        <v>5.6e-08</v>
      </c>
      <c r="F6" s="25" t="n">
        <v>2.557e-07</v>
      </c>
    </row>
    <row r="7">
      <c r="A7" s="3" t="inlineStr">
        <is>
          <t>Normalized EBITDA</t>
        </is>
      </c>
      <c r="C7" s="25" t="n">
        <v>9066</v>
      </c>
      <c r="D7" s="25" t="n">
        <v>16074</v>
      </c>
      <c r="E7" s="25" t="n">
        <v>13411</v>
      </c>
      <c r="F7" s="25" t="n">
        <v>15497</v>
      </c>
    </row>
    <row r="8">
      <c r="A8" s="3" t="inlineStr">
        <is>
          <t>Total Unusual Items</t>
        </is>
      </c>
      <c r="C8" s="25" t="n">
        <v>141</v>
      </c>
      <c r="D8" s="25" t="n">
        <v>689</v>
      </c>
      <c r="E8" s="25" t="n">
        <v>622</v>
      </c>
      <c r="F8" s="25" t="n">
        <v>546</v>
      </c>
    </row>
    <row r="9">
      <c r="A9" s="3" t="inlineStr">
        <is>
          <t>Total Unusual Items Excluding Goodwill</t>
        </is>
      </c>
      <c r="C9" s="25" t="n">
        <v>141</v>
      </c>
      <c r="D9" s="25" t="n">
        <v>689</v>
      </c>
      <c r="E9" s="25" t="n">
        <v>622</v>
      </c>
      <c r="F9" s="25" t="n">
        <v>546</v>
      </c>
    </row>
    <row r="10">
      <c r="A10" s="3" t="inlineStr">
        <is>
          <t>Net Income From Continuing Operation Net Minority Interest</t>
        </is>
      </c>
      <c r="C10" s="25" t="n">
        <v>4147</v>
      </c>
      <c r="D10" s="25" t="n">
        <v>7310</v>
      </c>
      <c r="E10" s="25" t="n">
        <v>6946</v>
      </c>
      <c r="F10" s="25" t="n">
        <v>6835</v>
      </c>
    </row>
    <row r="11">
      <c r="A11" s="3" t="inlineStr">
        <is>
          <t>Reconciled Depreciation</t>
        </is>
      </c>
      <c r="C11" s="25" t="n">
        <v>4790</v>
      </c>
      <c r="D11" s="25" t="n">
        <v>6151</v>
      </c>
      <c r="E11" s="25" t="n">
        <v>5761</v>
      </c>
      <c r="F11" s="25" t="n">
        <v>6941</v>
      </c>
    </row>
    <row r="12">
      <c r="A12" s="3" t="inlineStr">
        <is>
          <t>Reconciled Cost Of Revenue</t>
        </is>
      </c>
      <c r="C12" s="25" t="n">
        <v>10530</v>
      </c>
      <c r="D12" s="25" t="n">
        <v>9866</v>
      </c>
      <c r="E12" s="25" t="n">
        <v>9587</v>
      </c>
      <c r="F12" s="25" t="n">
        <v>9982</v>
      </c>
    </row>
    <row r="13">
      <c r="A13" s="3" t="inlineStr">
        <is>
          <t>EBITDA</t>
        </is>
      </c>
      <c r="C13" s="25" t="n">
        <v>9207</v>
      </c>
      <c r="D13" s="25" t="n">
        <v>16763</v>
      </c>
      <c r="E13" s="25" t="n">
        <v>14033</v>
      </c>
      <c r="F13" s="25" t="n">
        <v>16043</v>
      </c>
    </row>
    <row r="14">
      <c r="A14" s="3" t="inlineStr">
        <is>
          <t>EBIT</t>
        </is>
      </c>
      <c r="C14" s="25" t="n">
        <v>4417</v>
      </c>
      <c r="D14" s="25" t="n">
        <v>10612</v>
      </c>
      <c r="E14" s="25" t="n">
        <v>8272</v>
      </c>
      <c r="F14" s="25" t="n">
        <v>9102</v>
      </c>
    </row>
    <row r="15">
      <c r="A15" s="3" t="inlineStr">
        <is>
          <t>Net Interest Income</t>
        </is>
      </c>
      <c r="C15" s="25" t="n">
        <v>-585</v>
      </c>
      <c r="D15" s="25" t="n">
        <v>-3324</v>
      </c>
      <c r="E15" s="25" t="n">
        <v>-2235</v>
      </c>
      <c r="F15" s="25" t="n">
        <v>-4572</v>
      </c>
    </row>
    <row r="16">
      <c r="A16" s="3" t="inlineStr">
        <is>
          <t>Interest Expense</t>
        </is>
      </c>
      <c r="C16" s="25" t="n">
        <v>585</v>
      </c>
      <c r="D16" s="25" t="n">
        <v>3324</v>
      </c>
      <c r="E16" s="25" t="n">
        <v>2235</v>
      </c>
      <c r="F16" s="25" t="n">
        <v>4572</v>
      </c>
    </row>
    <row r="17">
      <c r="A17" s="3" t="inlineStr">
        <is>
          <t>Normalized Income</t>
        </is>
      </c>
      <c r="C17" s="25" t="n">
        <v>4027.573</v>
      </c>
      <c r="D17" s="25" t="n">
        <v>6716.082</v>
      </c>
      <c r="E17" s="25" t="n">
        <v>6358.832</v>
      </c>
      <c r="F17" s="25" t="n">
        <v>6428.6122</v>
      </c>
    </row>
    <row r="18">
      <c r="A18" s="3" t="inlineStr">
        <is>
          <t>Net Income From Continuing And Discontinued Operation</t>
        </is>
      </c>
      <c r="C18" s="25" t="n">
        <v>4147</v>
      </c>
      <c r="D18" s="25" t="n">
        <v>7310</v>
      </c>
      <c r="E18" s="25" t="n">
        <v>6946</v>
      </c>
      <c r="F18" s="25" t="n">
        <v>6835</v>
      </c>
    </row>
    <row r="19">
      <c r="A19" s="3" t="inlineStr">
        <is>
          <t>Total Expenses</t>
        </is>
      </c>
      <c r="C19" s="25" t="n">
        <v>17397</v>
      </c>
      <c r="D19" s="25" t="n">
        <v>18282</v>
      </c>
      <c r="E19" s="25" t="n">
        <v>17626</v>
      </c>
      <c r="F19" s="25" t="n">
        <v>19392</v>
      </c>
    </row>
    <row r="20">
      <c r="A20" s="3" t="inlineStr">
        <is>
          <t>Total Operating Income As Reported</t>
        </is>
      </c>
      <c r="C20" s="25" t="n">
        <v>4081</v>
      </c>
      <c r="D20" s="25" t="n">
        <v>10237</v>
      </c>
      <c r="E20" s="25" t="n">
        <v>7479</v>
      </c>
      <c r="F20" s="25" t="n">
        <v>8280</v>
      </c>
    </row>
    <row r="21">
      <c r="A21" s="3" t="inlineStr">
        <is>
          <t>Diluted Average Shares</t>
        </is>
      </c>
      <c r="C21" s="25" t="n">
        <v>1987</v>
      </c>
      <c r="D21" s="25" t="n">
        <v>2031</v>
      </c>
      <c r="E21" s="25" t="n">
        <v>2059</v>
      </c>
      <c r="F21" s="25" t="n">
        <v>2083</v>
      </c>
    </row>
    <row r="22">
      <c r="A22" s="3" t="inlineStr">
        <is>
          <t>Basic Average Shares</t>
        </is>
      </c>
      <c r="C22" s="25" t="n">
        <v>1987</v>
      </c>
      <c r="D22" s="25" t="n">
        <v>2030.555556</v>
      </c>
      <c r="E22" s="25" t="n">
        <v>2057</v>
      </c>
      <c r="F22" s="25" t="n">
        <v>2083</v>
      </c>
    </row>
    <row r="23">
      <c r="A23" s="3" t="inlineStr">
        <is>
          <t>Diluted EPS</t>
        </is>
      </c>
      <c r="C23" s="25" t="n">
        <v>2.087066e-06</v>
      </c>
      <c r="D23" s="25" t="n">
        <v>3.599212e-06</v>
      </c>
      <c r="E23" s="25" t="n">
        <v>3.37e-06</v>
      </c>
      <c r="F23" s="25" t="n">
        <v>3.281325e-06</v>
      </c>
    </row>
    <row r="24">
      <c r="A24" s="3" t="inlineStr">
        <is>
          <t>Basic EPS</t>
        </is>
      </c>
      <c r="C24" s="25" t="n">
        <v>2.087066e-06</v>
      </c>
      <c r="D24" s="25" t="n">
        <v>3.6e-06</v>
      </c>
      <c r="E24" s="25" t="n">
        <v>3.376762e-06</v>
      </c>
      <c r="F24" s="25" t="n">
        <v>3.281325e-06</v>
      </c>
    </row>
    <row r="25">
      <c r="A25" s="3" t="inlineStr">
        <is>
          <t>Diluted NI Availto Com Stockholders</t>
        </is>
      </c>
      <c r="C25" s="25" t="n">
        <v>4147</v>
      </c>
      <c r="D25" s="25" t="n">
        <v>7310</v>
      </c>
      <c r="E25" s="25" t="n">
        <v>6946</v>
      </c>
      <c r="F25" s="25" t="n">
        <v>6835</v>
      </c>
    </row>
    <row r="26">
      <c r="A26" s="3" t="inlineStr">
        <is>
          <t>Net Income Common Stockholders</t>
        </is>
      </c>
      <c r="C26" s="25" t="n">
        <v>4147</v>
      </c>
      <c r="D26" s="25" t="n">
        <v>7310</v>
      </c>
      <c r="E26" s="25" t="n">
        <v>6946</v>
      </c>
      <c r="F26" s="25" t="n">
        <v>6835</v>
      </c>
    </row>
    <row r="27">
      <c r="A27" s="3" t="inlineStr">
        <is>
          <t>Net Income</t>
        </is>
      </c>
      <c r="C27" s="25" t="n">
        <v>4147</v>
      </c>
      <c r="D27" s="25" t="n">
        <v>7310</v>
      </c>
      <c r="E27" s="25" t="n">
        <v>6946</v>
      </c>
      <c r="F27" s="25" t="n">
        <v>6835</v>
      </c>
    </row>
    <row r="28">
      <c r="A28" s="3" t="inlineStr">
        <is>
          <t>Minority Interests</t>
        </is>
      </c>
      <c r="C28" s="25" t="n">
        <v>901</v>
      </c>
      <c r="D28" s="25" t="n">
        <v>1028</v>
      </c>
      <c r="E28" s="25" t="n">
        <v>1248</v>
      </c>
      <c r="F28" s="25" t="n">
        <v>1503</v>
      </c>
    </row>
    <row r="29">
      <c r="A29" s="3" t="inlineStr">
        <is>
          <t>Net Income Including Noncontrolling Interests</t>
        </is>
      </c>
      <c r="C29" s="25" t="n">
        <v>3246</v>
      </c>
      <c r="D29" s="25" t="n">
        <v>6282</v>
      </c>
      <c r="E29" s="25" t="n">
        <v>5698</v>
      </c>
      <c r="F29" s="25" t="n">
        <v>5332</v>
      </c>
    </row>
    <row r="30">
      <c r="A30" s="3" t="inlineStr">
        <is>
          <t>Net Income Continuous Operations</t>
        </is>
      </c>
      <c r="C30" s="25" t="n">
        <v>3246</v>
      </c>
      <c r="D30" s="25" t="n">
        <v>6282</v>
      </c>
      <c r="E30" s="25" t="n">
        <v>5698</v>
      </c>
      <c r="F30" s="25" t="n">
        <v>5332</v>
      </c>
    </row>
    <row r="31">
      <c r="A31" s="3" t="inlineStr">
        <is>
          <t>Tax Provision</t>
        </is>
      </c>
      <c r="C31" s="25" t="n">
        <v>586</v>
      </c>
      <c r="D31" s="25" t="n">
        <v>1006</v>
      </c>
      <c r="E31" s="25" t="n">
        <v>339</v>
      </c>
      <c r="F31" s="25" t="n">
        <v>-802</v>
      </c>
    </row>
    <row r="32">
      <c r="A32" s="3" t="inlineStr">
        <is>
          <t>Pretax Income</t>
        </is>
      </c>
      <c r="C32" s="25" t="n">
        <v>3832</v>
      </c>
      <c r="D32" s="25" t="n">
        <v>7288</v>
      </c>
      <c r="E32" s="25" t="n">
        <v>6037</v>
      </c>
      <c r="F32" s="25" t="n">
        <v>4530</v>
      </c>
    </row>
    <row r="33">
      <c r="A33" s="3" t="inlineStr">
        <is>
          <t>Other Income Expense</t>
        </is>
      </c>
      <c r="C33" s="25" t="n">
        <v>858</v>
      </c>
      <c r="D33" s="25" t="n">
        <v>780</v>
      </c>
      <c r="E33" s="25" t="n">
        <v>1145</v>
      </c>
      <c r="F33" s="25" t="n">
        <v>1082</v>
      </c>
    </row>
    <row r="34">
      <c r="A34" s="3" t="inlineStr">
        <is>
          <t>Other Non Operating Income Expenses</t>
        </is>
      </c>
      <c r="C34" s="25" t="n">
        <v>514</v>
      </c>
      <c r="D34" s="25" t="n">
        <v>739</v>
      </c>
      <c r="E34" s="25" t="n">
        <v>769</v>
      </c>
      <c r="F34" s="25" t="n">
        <v>720</v>
      </c>
    </row>
    <row r="35">
      <c r="A35" s="3" t="inlineStr">
        <is>
          <t>Special Income Charges</t>
        </is>
      </c>
      <c r="C35" s="25" t="n">
        <v>522</v>
      </c>
      <c r="D35" s="25" t="n">
        <v>405</v>
      </c>
      <c r="E35" s="25" t="n">
        <v>352</v>
      </c>
      <c r="F35" s="25" t="n">
        <v>260</v>
      </c>
    </row>
    <row r="36">
      <c r="A36" s="3" t="inlineStr">
        <is>
          <t>Gain On Sale Of Business</t>
        </is>
      </c>
      <c r="C36" s="25" t="n">
        <v>522</v>
      </c>
      <c r="D36" s="25" t="n">
        <v>405</v>
      </c>
      <c r="E36" s="25" t="n">
        <v>352</v>
      </c>
      <c r="F36" s="25" t="n">
        <v>260</v>
      </c>
    </row>
    <row r="37">
      <c r="A37" s="3" t="inlineStr">
        <is>
          <t>Other Special Charges</t>
        </is>
      </c>
      <c r="C37" s="25" t="n">
        <v>-112</v>
      </c>
      <c r="D37" s="25" t="n">
        <v>-161</v>
      </c>
      <c r="E37" s="25" t="n">
        <v>-198</v>
      </c>
      <c r="F37" s="25" t="n">
        <v>-181</v>
      </c>
    </row>
    <row r="38">
      <c r="A38" s="3" t="inlineStr">
        <is>
          <t>Earnings From Equity Interest</t>
        </is>
      </c>
      <c r="C38" s="25" t="n">
        <v>203</v>
      </c>
      <c r="D38" s="25" t="n">
        <v>-648</v>
      </c>
      <c r="E38" s="25" t="n">
        <v>-246</v>
      </c>
      <c r="F38" s="25" t="n">
        <v>-184</v>
      </c>
    </row>
    <row r="39">
      <c r="A39" s="3" t="inlineStr">
        <is>
          <t>Gain On Sale Of Security</t>
        </is>
      </c>
      <c r="C39" s="25" t="n">
        <v>-381</v>
      </c>
      <c r="D39" s="25" t="n">
        <v>284</v>
      </c>
      <c r="E39" s="25" t="n">
        <v>270</v>
      </c>
      <c r="F39" s="25" t="n">
        <v>286</v>
      </c>
    </row>
    <row r="40">
      <c r="A40" s="3" t="inlineStr">
        <is>
          <t>Net Non Operating Interest Income Expense</t>
        </is>
      </c>
      <c r="C40" s="25" t="n">
        <v>-585</v>
      </c>
      <c r="D40" s="25" t="n">
        <v>-3324</v>
      </c>
      <c r="E40" s="25" t="n">
        <v>-2235</v>
      </c>
      <c r="F40" s="25" t="n">
        <v>-4572</v>
      </c>
    </row>
    <row r="41">
      <c r="A41" s="3" t="inlineStr">
        <is>
          <t>Interest Expense Non Operating</t>
        </is>
      </c>
      <c r="C41" s="25" t="n">
        <v>585</v>
      </c>
      <c r="D41" s="25" t="n">
        <v>3324</v>
      </c>
      <c r="E41" s="25" t="n">
        <v>2235</v>
      </c>
      <c r="F41" s="25" t="n">
        <v>4572</v>
      </c>
    </row>
    <row r="42">
      <c r="A42" s="3" t="inlineStr">
        <is>
          <t>Operating Income</t>
        </is>
      </c>
      <c r="C42" s="25" t="n">
        <v>3559</v>
      </c>
      <c r="D42" s="25" t="n">
        <v>9832</v>
      </c>
      <c r="E42" s="25" t="n">
        <v>7127</v>
      </c>
      <c r="F42" s="25" t="n">
        <v>8020</v>
      </c>
    </row>
    <row r="43">
      <c r="A43" s="3" t="inlineStr">
        <is>
          <t>Operating Expense</t>
        </is>
      </c>
      <c r="C43" s="25" t="n">
        <v>6580</v>
      </c>
      <c r="D43" s="25" t="n">
        <v>8144</v>
      </c>
      <c r="E43" s="25" t="n">
        <v>7740</v>
      </c>
      <c r="F43" s="25" t="n">
        <v>9049</v>
      </c>
    </row>
    <row r="44">
      <c r="A44" s="3" t="inlineStr">
        <is>
          <t>Other Operating Expenses</t>
        </is>
      </c>
      <c r="B44" s="25" t="n">
        <v>-142</v>
      </c>
    </row>
    <row r="45">
      <c r="A45" s="3" t="inlineStr">
        <is>
          <t>Other Taxes</t>
        </is>
      </c>
      <c r="C45" s="25" t="n">
        <v>2077</v>
      </c>
      <c r="D45" s="25" t="n">
        <v>2265</v>
      </c>
      <c r="E45" s="25" t="n">
        <v>2278</v>
      </c>
      <c r="F45" s="25" t="n">
        <v>2469</v>
      </c>
    </row>
    <row r="46">
      <c r="A46" s="3" t="inlineStr">
        <is>
          <t>Depreciation Amortization Depletion Income Statement</t>
        </is>
      </c>
      <c r="C46" s="25" t="n">
        <v>4503</v>
      </c>
      <c r="D46" s="25" t="n">
        <v>5879</v>
      </c>
      <c r="E46" s="25" t="n">
        <v>5462</v>
      </c>
      <c r="F46" s="25" t="n">
        <v>6580</v>
      </c>
    </row>
    <row r="47">
      <c r="A47" s="3" t="inlineStr">
        <is>
          <t>Depreciation And Amortization In Income Statement</t>
        </is>
      </c>
      <c r="C47" s="25" t="n">
        <v>4503</v>
      </c>
      <c r="D47" s="25" t="n">
        <v>5879</v>
      </c>
      <c r="E47" s="25" t="n">
        <v>5462</v>
      </c>
      <c r="F47" s="25" t="n">
        <v>6580</v>
      </c>
    </row>
    <row r="48">
      <c r="A48" s="3" t="inlineStr">
        <is>
          <t>Gross Profit</t>
        </is>
      </c>
      <c r="C48" s="25" t="n">
        <v>10139</v>
      </c>
      <c r="D48" s="25" t="n">
        <v>17976</v>
      </c>
      <c r="E48" s="25" t="n">
        <v>14867</v>
      </c>
      <c r="F48" s="25" t="n">
        <v>17069</v>
      </c>
    </row>
    <row r="49">
      <c r="A49" s="3" t="inlineStr">
        <is>
          <t>Cost Of Revenue</t>
        </is>
      </c>
      <c r="C49" s="25" t="n">
        <v>10817</v>
      </c>
      <c r="D49" s="25" t="n">
        <v>10138</v>
      </c>
      <c r="E49" s="25" t="n">
        <v>9886</v>
      </c>
      <c r="F49" s="25" t="n">
        <v>10343</v>
      </c>
    </row>
    <row r="50">
      <c r="A50" s="3" t="inlineStr">
        <is>
          <t>Total Revenue</t>
        </is>
      </c>
      <c r="C50" s="25" t="n">
        <v>20956</v>
      </c>
      <c r="D50" s="25" t="n">
        <v>28114</v>
      </c>
      <c r="E50" s="25" t="n">
        <v>24753</v>
      </c>
      <c r="F50" s="25" t="n">
        <v>27412</v>
      </c>
    </row>
    <row r="51">
      <c r="A51" s="3" t="inlineStr">
        <is>
          <t>Operating Revenue</t>
        </is>
      </c>
      <c r="C51" s="25" t="n">
        <v>20956</v>
      </c>
      <c r="D51" s="25" t="n">
        <v>28114</v>
      </c>
      <c r="E51" s="25" t="n">
        <v>24753</v>
      </c>
      <c r="F51" s="25" t="n">
        <v>27412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3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NEE — BS (reported)</t>
        </is>
      </c>
    </row>
    <row r="2">
      <c r="A2" s="2" t="inlineStr">
        <is>
          <t>As reported by yfinance (USDmm). Hardcoded actuals.</t>
        </is>
      </c>
    </row>
    <row r="4">
      <c r="A4" s="9" t="inlineStr">
        <is>
          <t>Line item</t>
        </is>
      </c>
      <c r="B4" s="10" t="inlineStr">
        <is>
          <t>FY2021</t>
        </is>
      </c>
      <c r="C4" s="10" t="inlineStr">
        <is>
          <t>FY2022</t>
        </is>
      </c>
      <c r="D4" s="10" t="inlineStr">
        <is>
          <t>FY2023</t>
        </is>
      </c>
      <c r="E4" s="10" t="inlineStr">
        <is>
          <t>FY2024</t>
        </is>
      </c>
      <c r="F4" s="10" t="inlineStr">
        <is>
          <t>FY2025</t>
        </is>
      </c>
    </row>
    <row r="5">
      <c r="A5" s="3" t="inlineStr">
        <is>
          <t>Ordinary Shares Number</t>
        </is>
      </c>
      <c r="C5" s="25" t="n">
        <v>1987</v>
      </c>
      <c r="D5" s="25" t="n">
        <v>2052</v>
      </c>
      <c r="E5" s="25" t="n">
        <v>2057</v>
      </c>
      <c r="F5" s="25" t="n">
        <v>2083</v>
      </c>
    </row>
    <row r="6">
      <c r="A6" s="3" t="inlineStr">
        <is>
          <t>Share Issued</t>
        </is>
      </c>
      <c r="C6" s="25" t="n">
        <v>1987</v>
      </c>
      <c r="D6" s="25" t="n">
        <v>2052</v>
      </c>
      <c r="E6" s="25" t="n">
        <v>2057</v>
      </c>
      <c r="F6" s="25" t="n">
        <v>2083</v>
      </c>
    </row>
    <row r="7">
      <c r="A7" s="3" t="inlineStr">
        <is>
          <t>Net Debt</t>
        </is>
      </c>
      <c r="C7" s="25" t="n">
        <v>63365</v>
      </c>
      <c r="D7" s="25" t="n">
        <v>70521</v>
      </c>
      <c r="E7" s="25" t="n">
        <v>80846</v>
      </c>
      <c r="F7" s="25" t="n">
        <v>92807</v>
      </c>
    </row>
    <row r="8">
      <c r="A8" s="3" t="inlineStr">
        <is>
          <t>Total Debt</t>
        </is>
      </c>
      <c r="C8" s="25" t="n">
        <v>64966</v>
      </c>
      <c r="D8" s="25" t="n">
        <v>73211</v>
      </c>
      <c r="E8" s="25" t="n">
        <v>82333</v>
      </c>
      <c r="F8" s="25" t="n">
        <v>95619</v>
      </c>
    </row>
    <row r="9">
      <c r="A9" s="3" t="inlineStr">
        <is>
          <t>Tangible Book Value</t>
        </is>
      </c>
      <c r="C9" s="25" t="n">
        <v>33616</v>
      </c>
      <c r="D9" s="25" t="n">
        <v>40685</v>
      </c>
      <c r="E9" s="25" t="n">
        <v>43520</v>
      </c>
      <c r="F9" s="25" t="n">
        <v>47992</v>
      </c>
    </row>
    <row r="10">
      <c r="A10" s="3" t="inlineStr">
        <is>
          <t>Invested Capital</t>
        </is>
      </c>
      <c r="C10" s="25" t="n">
        <v>104195</v>
      </c>
      <c r="D10" s="25" t="n">
        <v>120679</v>
      </c>
      <c r="E10" s="25" t="n">
        <v>132434</v>
      </c>
      <c r="F10" s="25" t="n">
        <v>150227</v>
      </c>
    </row>
    <row r="11">
      <c r="A11" s="3" t="inlineStr">
        <is>
          <t>Working Capital</t>
        </is>
      </c>
      <c r="C11" s="25" t="n">
        <v>-13205</v>
      </c>
      <c r="D11" s="25" t="n">
        <v>-12602</v>
      </c>
      <c r="E11" s="25" t="n">
        <v>-13404</v>
      </c>
      <c r="F11" s="25" t="n">
        <v>-9233</v>
      </c>
    </row>
    <row r="12">
      <c r="A12" s="3" t="inlineStr">
        <is>
          <t>Net Tangible Assets</t>
        </is>
      </c>
      <c r="C12" s="25" t="n">
        <v>33616</v>
      </c>
      <c r="D12" s="25" t="n">
        <v>40685</v>
      </c>
      <c r="E12" s="25" t="n">
        <v>43520</v>
      </c>
      <c r="F12" s="25" t="n">
        <v>47992</v>
      </c>
    </row>
    <row r="13">
      <c r="A13" s="3" t="inlineStr">
        <is>
          <t>Common Stock Equity</t>
        </is>
      </c>
      <c r="C13" s="25" t="n">
        <v>39229</v>
      </c>
      <c r="D13" s="25" t="n">
        <v>47468</v>
      </c>
      <c r="E13" s="25" t="n">
        <v>50101</v>
      </c>
      <c r="F13" s="25" t="n">
        <v>54608</v>
      </c>
    </row>
    <row r="14">
      <c r="A14" s="3" t="inlineStr">
        <is>
          <t>Total Capitalization</t>
        </is>
      </c>
      <c r="C14" s="25" t="n">
        <v>94485</v>
      </c>
      <c r="D14" s="25" t="n">
        <v>108873</v>
      </c>
      <c r="E14" s="25" t="n">
        <v>122486</v>
      </c>
      <c r="F14" s="25" t="n">
        <v>144164</v>
      </c>
    </row>
    <row r="15">
      <c r="A15" s="3" t="inlineStr">
        <is>
          <t>Total Equity Gross Minority Interest</t>
        </is>
      </c>
      <c r="C15" s="25" t="n">
        <v>49436</v>
      </c>
      <c r="D15" s="25" t="n">
        <v>59024</v>
      </c>
      <c r="E15" s="25" t="n">
        <v>60861</v>
      </c>
      <c r="F15" s="25" t="n">
        <v>66479</v>
      </c>
    </row>
    <row r="16">
      <c r="A16" s="3" t="inlineStr">
        <is>
          <t>Minority Interest</t>
        </is>
      </c>
      <c r="C16" s="25" t="n">
        <v>10207</v>
      </c>
      <c r="D16" s="25" t="n">
        <v>11556</v>
      </c>
      <c r="E16" s="25" t="n">
        <v>10760</v>
      </c>
      <c r="F16" s="25" t="n">
        <v>11871</v>
      </c>
    </row>
    <row r="17">
      <c r="A17" s="3" t="inlineStr">
        <is>
          <t>Stockholders Equity</t>
        </is>
      </c>
      <c r="C17" s="25" t="n">
        <v>39229</v>
      </c>
      <c r="D17" s="25" t="n">
        <v>47468</v>
      </c>
      <c r="E17" s="25" t="n">
        <v>50101</v>
      </c>
      <c r="F17" s="25" t="n">
        <v>54608</v>
      </c>
    </row>
    <row r="18">
      <c r="A18" s="3" t="inlineStr">
        <is>
          <t>Gains Losses Not Affecting Retained Earnings</t>
        </is>
      </c>
      <c r="C18" s="25" t="n">
        <v>-218</v>
      </c>
      <c r="D18" s="25" t="n">
        <v>-153</v>
      </c>
      <c r="E18" s="25" t="n">
        <v>-126</v>
      </c>
      <c r="F18" s="25" t="n">
        <v>-9</v>
      </c>
    </row>
    <row r="19">
      <c r="A19" s="3" t="inlineStr">
        <is>
          <t>Other Equity Adjustments</t>
        </is>
      </c>
      <c r="C19" s="25" t="n">
        <v>-218</v>
      </c>
      <c r="D19" s="25" t="n">
        <v>-153</v>
      </c>
      <c r="E19" s="25" t="n">
        <v>-126</v>
      </c>
      <c r="F19" s="25" t="n">
        <v>-9</v>
      </c>
    </row>
    <row r="20">
      <c r="A20" s="3" t="inlineStr">
        <is>
          <t>Retained Earnings</t>
        </is>
      </c>
      <c r="C20" s="25" t="n">
        <v>26707</v>
      </c>
      <c r="D20" s="25" t="n">
        <v>30235</v>
      </c>
      <c r="E20" s="25" t="n">
        <v>32946</v>
      </c>
      <c r="F20" s="25" t="n">
        <v>35102</v>
      </c>
    </row>
    <row r="21">
      <c r="A21" s="3" t="inlineStr">
        <is>
          <t>Additional Paid In Capital</t>
        </is>
      </c>
      <c r="C21" s="25" t="n">
        <v>12720</v>
      </c>
      <c r="D21" s="25" t="n">
        <v>17365</v>
      </c>
      <c r="E21" s="25" t="n">
        <v>17260</v>
      </c>
      <c r="F21" s="25" t="n">
        <v>19494</v>
      </c>
    </row>
    <row r="22">
      <c r="A22" s="3" t="inlineStr">
        <is>
          <t>Capital Stock</t>
        </is>
      </c>
      <c r="C22" s="25" t="n">
        <v>20</v>
      </c>
      <c r="D22" s="25" t="n">
        <v>21</v>
      </c>
      <c r="E22" s="25" t="n">
        <v>21</v>
      </c>
      <c r="F22" s="25" t="n">
        <v>21</v>
      </c>
    </row>
    <row r="23">
      <c r="A23" s="3" t="inlineStr">
        <is>
          <t>Common Stock</t>
        </is>
      </c>
      <c r="C23" s="25" t="n">
        <v>20</v>
      </c>
      <c r="D23" s="25" t="n">
        <v>21</v>
      </c>
      <c r="E23" s="25" t="n">
        <v>21</v>
      </c>
      <c r="F23" s="25" t="n">
        <v>21</v>
      </c>
    </row>
    <row r="24">
      <c r="A24" s="3" t="inlineStr">
        <is>
          <t>Total Liabilities Net Minority Interest</t>
        </is>
      </c>
      <c r="C24" s="25" t="n">
        <v>109499</v>
      </c>
      <c r="D24" s="25" t="n">
        <v>118465</v>
      </c>
      <c r="E24" s="25" t="n">
        <v>129283</v>
      </c>
      <c r="F24" s="25" t="n">
        <v>146242</v>
      </c>
    </row>
    <row r="25">
      <c r="A25" s="3" t="inlineStr">
        <is>
          <t>Total Non Current Liabilities Net Minority Interest</t>
        </is>
      </c>
      <c r="C25" s="25" t="n">
        <v>82804</v>
      </c>
      <c r="D25" s="25" t="n">
        <v>90502</v>
      </c>
      <c r="E25" s="25" t="n">
        <v>103928</v>
      </c>
      <c r="F25" s="25" t="n">
        <v>123425</v>
      </c>
    </row>
    <row r="26">
      <c r="A26" s="3" t="inlineStr">
        <is>
          <t>Other Non Current Liabilities</t>
        </is>
      </c>
      <c r="C26" s="25" t="n">
        <v>2696</v>
      </c>
      <c r="D26" s="25" t="n">
        <v>2762</v>
      </c>
      <c r="E26" s="25" t="n">
        <v>3480</v>
      </c>
      <c r="F26" s="25" t="n">
        <v>4219</v>
      </c>
    </row>
    <row r="27">
      <c r="A27" s="3" t="inlineStr">
        <is>
          <t>Preferred Securities Outside Stock Equity</t>
        </is>
      </c>
      <c r="B27" s="25" t="n">
        <v>245</v>
      </c>
      <c r="C27" s="25" t="n">
        <v>1110</v>
      </c>
      <c r="D27" s="25" t="n">
        <v>1256</v>
      </c>
    </row>
    <row r="28">
      <c r="A28" s="3" t="inlineStr">
        <is>
          <t>Derivative Product Liabilities</t>
        </is>
      </c>
      <c r="C28" s="25" t="n">
        <v>2909</v>
      </c>
      <c r="D28" s="25" t="n">
        <v>2741</v>
      </c>
      <c r="E28" s="25" t="n">
        <v>2008</v>
      </c>
      <c r="F28" s="25" t="n">
        <v>2148</v>
      </c>
    </row>
    <row r="29">
      <c r="A29" s="3" t="inlineStr">
        <is>
          <t>Non Current Deferred Liabilities</t>
        </is>
      </c>
      <c r="C29" s="25" t="n">
        <v>9072</v>
      </c>
      <c r="D29" s="25" t="n">
        <v>10142</v>
      </c>
      <c r="E29" s="25" t="n">
        <v>11749</v>
      </c>
      <c r="F29" s="25" t="n">
        <v>12359</v>
      </c>
    </row>
    <row r="30">
      <c r="A30" s="3" t="inlineStr">
        <is>
          <t>Non Current Deferred Taxes Liabilities</t>
        </is>
      </c>
      <c r="C30" s="25" t="n">
        <v>9072</v>
      </c>
      <c r="D30" s="25" t="n">
        <v>10142</v>
      </c>
      <c r="E30" s="25" t="n">
        <v>11749</v>
      </c>
      <c r="F30" s="25" t="n">
        <v>12359</v>
      </c>
    </row>
    <row r="31">
      <c r="A31" s="3" t="inlineStr">
        <is>
          <t>Long Term Debt And Capital Lease Obligation</t>
        </is>
      </c>
      <c r="C31" s="25" t="n">
        <v>55256</v>
      </c>
      <c r="D31" s="25" t="n">
        <v>61405</v>
      </c>
      <c r="E31" s="25" t="n">
        <v>72385</v>
      </c>
      <c r="F31" s="25" t="n">
        <v>89556</v>
      </c>
    </row>
    <row r="32">
      <c r="A32" s="3" t="inlineStr">
        <is>
          <t>Long Term Debt</t>
        </is>
      </c>
      <c r="C32" s="25" t="n">
        <v>55256</v>
      </c>
      <c r="D32" s="25" t="n">
        <v>61405</v>
      </c>
      <c r="E32" s="25" t="n">
        <v>72385</v>
      </c>
      <c r="F32" s="25" t="n">
        <v>89556</v>
      </c>
    </row>
    <row r="33">
      <c r="A33" s="3" t="inlineStr">
        <is>
          <t>Long Term Provisions</t>
        </is>
      </c>
      <c r="C33" s="25" t="n">
        <v>3245</v>
      </c>
      <c r="D33" s="25" t="n">
        <v>3403</v>
      </c>
      <c r="E33" s="25" t="n">
        <v>3671</v>
      </c>
      <c r="F33" s="25" t="n">
        <v>3669</v>
      </c>
    </row>
    <row r="34">
      <c r="A34" s="3" t="inlineStr">
        <is>
          <t>Current Liabilities</t>
        </is>
      </c>
      <c r="C34" s="25" t="n">
        <v>26695</v>
      </c>
      <c r="D34" s="25" t="n">
        <v>27963</v>
      </c>
      <c r="E34" s="25" t="n">
        <v>25355</v>
      </c>
      <c r="F34" s="25" t="n">
        <v>22817</v>
      </c>
    </row>
    <row r="35">
      <c r="A35" s="3" t="inlineStr">
        <is>
          <t>Other Current Liabilities</t>
        </is>
      </c>
      <c r="C35" s="25" t="n">
        <v>5634</v>
      </c>
      <c r="D35" s="25" t="n">
        <v>4184</v>
      </c>
      <c r="E35" s="25" t="n">
        <v>4369</v>
      </c>
      <c r="F35" s="25" t="n">
        <v>4311</v>
      </c>
    </row>
    <row r="36">
      <c r="A36" s="3" t="inlineStr">
        <is>
          <t>Current Deferred Liabilities</t>
        </is>
      </c>
      <c r="C36" s="25" t="n">
        <v>560</v>
      </c>
      <c r="D36" s="25" t="n">
        <v>638</v>
      </c>
      <c r="E36" s="25" t="n">
        <v>694</v>
      </c>
      <c r="F36" s="25" t="n">
        <v>709</v>
      </c>
    </row>
    <row r="37">
      <c r="A37" s="3" t="inlineStr">
        <is>
          <t>Current Deferred Revenue</t>
        </is>
      </c>
      <c r="C37" s="25" t="n">
        <v>560</v>
      </c>
      <c r="D37" s="25" t="n">
        <v>638</v>
      </c>
      <c r="E37" s="25" t="n">
        <v>694</v>
      </c>
      <c r="F37" s="25" t="n">
        <v>709</v>
      </c>
    </row>
    <row r="38">
      <c r="A38" s="3" t="inlineStr">
        <is>
          <t>Current Debt And Capital Lease Obligation</t>
        </is>
      </c>
      <c r="C38" s="25" t="n">
        <v>9710</v>
      </c>
      <c r="D38" s="25" t="n">
        <v>11806</v>
      </c>
      <c r="E38" s="25" t="n">
        <v>9948</v>
      </c>
      <c r="F38" s="25" t="n">
        <v>6063</v>
      </c>
    </row>
    <row r="39">
      <c r="A39" s="3" t="inlineStr">
        <is>
          <t>Current Debt</t>
        </is>
      </c>
      <c r="C39" s="25" t="n">
        <v>9710</v>
      </c>
      <c r="D39" s="25" t="n">
        <v>11806</v>
      </c>
      <c r="E39" s="25" t="n">
        <v>9948</v>
      </c>
      <c r="F39" s="25" t="n">
        <v>6063</v>
      </c>
    </row>
    <row r="40">
      <c r="A40" s="3" t="inlineStr">
        <is>
          <t>Other Current Borrowings</t>
        </is>
      </c>
      <c r="C40" s="25" t="n">
        <v>8001</v>
      </c>
      <c r="D40" s="25" t="n">
        <v>7156</v>
      </c>
      <c r="E40" s="25" t="n">
        <v>8278</v>
      </c>
      <c r="F40" s="25" t="n">
        <v>4108</v>
      </c>
    </row>
    <row r="41">
      <c r="A41" s="3" t="inlineStr">
        <is>
          <t>Commercial Paper</t>
        </is>
      </c>
      <c r="C41" s="25" t="n">
        <v>1709</v>
      </c>
      <c r="D41" s="25" t="n">
        <v>4650</v>
      </c>
      <c r="E41" s="25" t="n">
        <v>1670</v>
      </c>
      <c r="F41" s="25" t="n">
        <v>1955</v>
      </c>
    </row>
    <row r="42">
      <c r="A42" s="3" t="inlineStr">
        <is>
          <t>Payables And Accrued Expenses</t>
        </is>
      </c>
      <c r="C42" s="25" t="n">
        <v>10791</v>
      </c>
      <c r="D42" s="25" t="n">
        <v>11335</v>
      </c>
      <c r="E42" s="25" t="n">
        <v>10344</v>
      </c>
      <c r="F42" s="25" t="n">
        <v>11734</v>
      </c>
    </row>
    <row r="43">
      <c r="A43" s="3" t="inlineStr">
        <is>
          <t>Current Accrued Expenses</t>
        </is>
      </c>
      <c r="C43" s="25" t="n">
        <v>2479</v>
      </c>
      <c r="D43" s="25" t="n">
        <v>2831</v>
      </c>
      <c r="E43" s="25" t="n">
        <v>3362</v>
      </c>
      <c r="F43" s="25" t="n">
        <v>4151</v>
      </c>
    </row>
    <row r="44">
      <c r="A44" s="3" t="inlineStr">
        <is>
          <t>Interest Payable</t>
        </is>
      </c>
      <c r="C44" s="25" t="n">
        <v>719</v>
      </c>
      <c r="D44" s="25" t="n">
        <v>970</v>
      </c>
      <c r="E44" s="25" t="n">
        <v>1016</v>
      </c>
      <c r="F44" s="25" t="n">
        <v>1185</v>
      </c>
    </row>
    <row r="45">
      <c r="A45" s="3" t="inlineStr">
        <is>
          <t>Payables</t>
        </is>
      </c>
      <c r="C45" s="25" t="n">
        <v>8312</v>
      </c>
      <c r="D45" s="25" t="n">
        <v>8504</v>
      </c>
      <c r="E45" s="25" t="n">
        <v>6982</v>
      </c>
      <c r="F45" s="25" t="n">
        <v>7583</v>
      </c>
    </row>
    <row r="46">
      <c r="A46" s="3" t="inlineStr">
        <is>
          <t>Accounts Payable</t>
        </is>
      </c>
      <c r="C46" s="25" t="n">
        <v>8312</v>
      </c>
      <c r="D46" s="25" t="n">
        <v>8504</v>
      </c>
      <c r="E46" s="25" t="n">
        <v>6982</v>
      </c>
      <c r="F46" s="25" t="n">
        <v>7583</v>
      </c>
    </row>
    <row r="47">
      <c r="A47" s="3" t="inlineStr">
        <is>
          <t>Total Assets</t>
        </is>
      </c>
      <c r="C47" s="25" t="n">
        <v>158935</v>
      </c>
      <c r="D47" s="25" t="n">
        <v>177489</v>
      </c>
      <c r="E47" s="25" t="n">
        <v>190144</v>
      </c>
      <c r="F47" s="25" t="n">
        <v>212721</v>
      </c>
    </row>
    <row r="48">
      <c r="A48" s="3" t="inlineStr">
        <is>
          <t>Total Non Current Assets</t>
        </is>
      </c>
      <c r="C48" s="25" t="n">
        <v>145445</v>
      </c>
      <c r="D48" s="25" t="n">
        <v>162128</v>
      </c>
      <c r="E48" s="25" t="n">
        <v>178193</v>
      </c>
      <c r="F48" s="25" t="n">
        <v>199137</v>
      </c>
    </row>
    <row r="49">
      <c r="A49" s="3" t="inlineStr">
        <is>
          <t>Other Non Current Assets</t>
        </is>
      </c>
      <c r="C49" s="25" t="n">
        <v>4936</v>
      </c>
      <c r="D49" s="25" t="n">
        <v>6012</v>
      </c>
      <c r="E49" s="25" t="n">
        <v>7744</v>
      </c>
      <c r="F49" s="25" t="n">
        <v>9337</v>
      </c>
    </row>
    <row r="50">
      <c r="A50" s="3" t="inlineStr">
        <is>
          <t>Non Current Prepaid Assets</t>
        </is>
      </c>
      <c r="C50" s="25" t="n">
        <v>1832</v>
      </c>
      <c r="D50" s="25" t="n">
        <v>2112</v>
      </c>
      <c r="E50" s="25" t="n">
        <v>2496</v>
      </c>
      <c r="F50" s="25" t="n">
        <v>2868</v>
      </c>
    </row>
    <row r="51">
      <c r="A51" s="3" t="inlineStr">
        <is>
          <t>Financial Assets</t>
        </is>
      </c>
      <c r="C51" s="25" t="n">
        <v>1935</v>
      </c>
      <c r="D51" s="25" t="n">
        <v>1790</v>
      </c>
      <c r="E51" s="25" t="n">
        <v>1774</v>
      </c>
      <c r="F51" s="25" t="n">
        <v>1998</v>
      </c>
    </row>
    <row r="52">
      <c r="A52" s="3" t="inlineStr">
        <is>
          <t>Investments And Advances</t>
        </is>
      </c>
      <c r="C52" s="25" t="n">
        <v>14078</v>
      </c>
      <c r="D52" s="25" t="n">
        <v>14854</v>
      </c>
      <c r="E52" s="25" t="n">
        <v>15918</v>
      </c>
      <c r="F52" s="25" t="n">
        <v>16482</v>
      </c>
    </row>
    <row r="53">
      <c r="A53" s="3" t="inlineStr">
        <is>
          <t>Other Investments</t>
        </is>
      </c>
      <c r="C53" s="25" t="n">
        <v>7496</v>
      </c>
      <c r="D53" s="25" t="n">
        <v>8698</v>
      </c>
      <c r="E53" s="25" t="n">
        <v>9800</v>
      </c>
      <c r="F53" s="25" t="n">
        <v>10954</v>
      </c>
    </row>
    <row r="54">
      <c r="A54" s="3" t="inlineStr">
        <is>
          <t>Investmentin Financial Assets</t>
        </is>
      </c>
      <c r="B54" s="25" t="n">
        <v>8922</v>
      </c>
      <c r="C54" s="25" t="n">
        <v>7496</v>
      </c>
    </row>
    <row r="55">
      <c r="A55" s="3" t="inlineStr">
        <is>
          <t>Long Term Equity Investment</t>
        </is>
      </c>
      <c r="C55" s="25" t="n">
        <v>6582</v>
      </c>
      <c r="D55" s="25" t="n">
        <v>6156</v>
      </c>
      <c r="E55" s="25" t="n">
        <v>6118</v>
      </c>
      <c r="F55" s="25" t="n">
        <v>5528</v>
      </c>
    </row>
    <row r="56">
      <c r="A56" s="3" t="inlineStr">
        <is>
          <t>Goodwill And Other Intangible Assets</t>
        </is>
      </c>
      <c r="C56" s="25" t="n">
        <v>5613</v>
      </c>
      <c r="D56" s="25" t="n">
        <v>6783</v>
      </c>
      <c r="E56" s="25" t="n">
        <v>6581</v>
      </c>
      <c r="F56" s="25" t="n">
        <v>6616</v>
      </c>
    </row>
    <row r="57">
      <c r="A57" s="3" t="inlineStr">
        <is>
          <t>Other Intangible Assets</t>
        </is>
      </c>
      <c r="C57" s="25" t="n">
        <v>759</v>
      </c>
      <c r="D57" s="25" t="n">
        <v>1692</v>
      </c>
      <c r="E57" s="25" t="n">
        <v>1715</v>
      </c>
      <c r="F57" s="25" t="n">
        <v>1767</v>
      </c>
    </row>
    <row r="58">
      <c r="A58" s="3" t="inlineStr">
        <is>
          <t>Goodwill</t>
        </is>
      </c>
      <c r="C58" s="25" t="n">
        <v>4854</v>
      </c>
      <c r="D58" s="25" t="n">
        <v>5091</v>
      </c>
      <c r="E58" s="25" t="n">
        <v>4866</v>
      </c>
      <c r="F58" s="25" t="n">
        <v>4849</v>
      </c>
    </row>
    <row r="59">
      <c r="A59" s="3" t="inlineStr">
        <is>
          <t>Net PPE</t>
        </is>
      </c>
      <c r="C59" s="25" t="n">
        <v>111059</v>
      </c>
      <c r="D59" s="25" t="n">
        <v>125776</v>
      </c>
      <c r="E59" s="25" t="n">
        <v>138852</v>
      </c>
      <c r="F59" s="25" t="n">
        <v>156197</v>
      </c>
    </row>
    <row r="60">
      <c r="A60" s="3" t="inlineStr">
        <is>
          <t>Accumulated Depreciation</t>
        </is>
      </c>
      <c r="C60" s="25" t="n">
        <v>-31263</v>
      </c>
      <c r="D60" s="25" t="n">
        <v>-33489</v>
      </c>
      <c r="E60" s="25" t="n">
        <v>-36159</v>
      </c>
      <c r="F60" s="25" t="n">
        <v>-40514</v>
      </c>
    </row>
    <row r="61">
      <c r="A61" s="3" t="inlineStr">
        <is>
          <t>Gross PPE</t>
        </is>
      </c>
      <c r="C61" s="25" t="n">
        <v>142322</v>
      </c>
      <c r="D61" s="25" t="n">
        <v>159265</v>
      </c>
      <c r="E61" s="25" t="n">
        <v>175011</v>
      </c>
      <c r="F61" s="25" t="n">
        <v>196711</v>
      </c>
    </row>
    <row r="62">
      <c r="A62" s="3" t="inlineStr">
        <is>
          <t>Construction In Progress</t>
        </is>
      </c>
      <c r="C62" s="25" t="n">
        <v>15675</v>
      </c>
      <c r="D62" s="25" t="n">
        <v>18652</v>
      </c>
      <c r="E62" s="25" t="n">
        <v>21658</v>
      </c>
      <c r="F62" s="25" t="n">
        <v>24556</v>
      </c>
    </row>
    <row r="63">
      <c r="A63" s="3" t="inlineStr">
        <is>
          <t>Current Assets</t>
        </is>
      </c>
      <c r="C63" s="25" t="n">
        <v>13490</v>
      </c>
      <c r="D63" s="25" t="n">
        <v>15361</v>
      </c>
      <c r="E63" s="25" t="n">
        <v>11951</v>
      </c>
      <c r="F63" s="25" t="n">
        <v>13584</v>
      </c>
    </row>
    <row r="64">
      <c r="A64" s="3" t="inlineStr">
        <is>
          <t>Other Current Assets</t>
        </is>
      </c>
      <c r="C64" s="25" t="n">
        <v>2954</v>
      </c>
      <c r="D64" s="25" t="n">
        <v>2795</v>
      </c>
      <c r="E64" s="25" t="n">
        <v>2855</v>
      </c>
      <c r="F64" s="25" t="n">
        <v>1604</v>
      </c>
    </row>
    <row r="65">
      <c r="A65" s="3" t="inlineStr">
        <is>
          <t>Hedging Assets Current</t>
        </is>
      </c>
      <c r="C65" s="25" t="n">
        <v>1590</v>
      </c>
      <c r="D65" s="25" t="n">
        <v>1730</v>
      </c>
      <c r="E65" s="25" t="n">
        <v>879</v>
      </c>
      <c r="F65" s="25" t="n">
        <v>997</v>
      </c>
    </row>
    <row r="66">
      <c r="A66" s="3" t="inlineStr">
        <is>
          <t>Inventory</t>
        </is>
      </c>
      <c r="C66" s="25" t="n">
        <v>1934</v>
      </c>
      <c r="D66" s="25" t="n">
        <v>2106</v>
      </c>
      <c r="E66" s="25" t="n">
        <v>2214</v>
      </c>
      <c r="F66" s="25" t="n">
        <v>2420</v>
      </c>
    </row>
    <row r="67">
      <c r="A67" s="3" t="inlineStr">
        <is>
          <t>Receivables</t>
        </is>
      </c>
      <c r="C67" s="25" t="n">
        <v>5411</v>
      </c>
      <c r="D67" s="25" t="n">
        <v>6040</v>
      </c>
      <c r="E67" s="25" t="n">
        <v>4516</v>
      </c>
      <c r="F67" s="25" t="n">
        <v>5751</v>
      </c>
    </row>
    <row r="68">
      <c r="A68" s="3" t="inlineStr">
        <is>
          <t>Other Receivables</t>
        </is>
      </c>
      <c r="C68" s="25" t="n">
        <v>744</v>
      </c>
      <c r="D68" s="25" t="n">
        <v>944</v>
      </c>
      <c r="E68" s="25" t="n">
        <v>1180</v>
      </c>
      <c r="F68" s="25" t="n">
        <v>1733</v>
      </c>
    </row>
    <row r="69">
      <c r="A69" s="3" t="inlineStr">
        <is>
          <t>Accounts Receivable</t>
        </is>
      </c>
      <c r="C69" s="25" t="n">
        <v>4349</v>
      </c>
      <c r="D69" s="25" t="n">
        <v>3609</v>
      </c>
      <c r="E69" s="25" t="n">
        <v>3336</v>
      </c>
      <c r="F69" s="25" t="n">
        <v>4018</v>
      </c>
    </row>
    <row r="70">
      <c r="A70" s="3" t="inlineStr">
        <is>
          <t>Allowance For Doubtful Accounts Receivable</t>
        </is>
      </c>
      <c r="C70" s="25" t="n">
        <v>-54</v>
      </c>
      <c r="D70" s="25" t="n">
        <v>-52</v>
      </c>
      <c r="E70" s="25" t="n">
        <v>-56</v>
      </c>
      <c r="F70" s="25" t="n">
        <v>-82</v>
      </c>
    </row>
    <row r="71">
      <c r="A71" s="3" t="inlineStr">
        <is>
          <t>Gross Accounts Receivable</t>
        </is>
      </c>
      <c r="C71" s="25" t="n">
        <v>4403</v>
      </c>
      <c r="D71" s="25" t="n">
        <v>3661</v>
      </c>
      <c r="E71" s="25" t="n">
        <v>3392</v>
      </c>
      <c r="F71" s="25" t="n">
        <v>4100</v>
      </c>
    </row>
    <row r="72">
      <c r="A72" s="3" t="inlineStr">
        <is>
          <t>Cash Cash Equivalents And Short Term Investments</t>
        </is>
      </c>
      <c r="C72" s="25" t="n">
        <v>1601</v>
      </c>
      <c r="D72" s="25" t="n">
        <v>2690</v>
      </c>
      <c r="E72" s="25" t="n">
        <v>1487</v>
      </c>
      <c r="F72" s="25" t="n">
        <v>2812</v>
      </c>
    </row>
    <row r="73">
      <c r="A73" s="3" t="inlineStr">
        <is>
          <t>Cash And Cash Equivalents</t>
        </is>
      </c>
      <c r="C73" s="25" t="n">
        <v>1601</v>
      </c>
      <c r="D73" s="25" t="n">
        <v>2690</v>
      </c>
      <c r="E73" s="25" t="n">
        <v>1487</v>
      </c>
      <c r="F73" s="25" t="n">
        <v>2812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9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NEE — CF (reported)</t>
        </is>
      </c>
    </row>
    <row r="2">
      <c r="A2" s="2" t="inlineStr">
        <is>
          <t>As reported by yfinance (USDmm). Hardcoded actuals.</t>
        </is>
      </c>
    </row>
    <row r="4">
      <c r="A4" s="9" t="inlineStr">
        <is>
          <t>Line item</t>
        </is>
      </c>
      <c r="B4" s="10" t="inlineStr">
        <is>
          <t>FY2021</t>
        </is>
      </c>
      <c r="C4" s="10" t="inlineStr">
        <is>
          <t>FY2022</t>
        </is>
      </c>
      <c r="D4" s="10" t="inlineStr">
        <is>
          <t>FY2023</t>
        </is>
      </c>
      <c r="E4" s="10" t="inlineStr">
        <is>
          <t>FY2024</t>
        </is>
      </c>
      <c r="F4" s="10" t="inlineStr">
        <is>
          <t>FY2025</t>
        </is>
      </c>
    </row>
    <row r="5">
      <c r="A5" s="3" t="inlineStr">
        <is>
          <t>Free Cash Flow</t>
        </is>
      </c>
      <c r="C5" s="25" t="n">
        <v>-1480</v>
      </c>
      <c r="D5" s="25" t="n">
        <v>1753</v>
      </c>
      <c r="E5" s="25" t="n">
        <v>4746</v>
      </c>
      <c r="F5" s="25" t="n">
        <v>3211</v>
      </c>
    </row>
    <row r="6">
      <c r="A6" s="3" t="inlineStr">
        <is>
          <t>Repayment Of Debt</t>
        </is>
      </c>
      <c r="C6" s="25" t="n">
        <v>-5650</v>
      </c>
      <c r="D6" s="25" t="n">
        <v>-10591</v>
      </c>
      <c r="E6" s="25" t="n">
        <v>-19706</v>
      </c>
      <c r="F6" s="25" t="n">
        <v>-12514</v>
      </c>
    </row>
    <row r="7">
      <c r="A7" s="3" t="inlineStr">
        <is>
          <t>Issuance Of Debt</t>
        </is>
      </c>
      <c r="C7" s="25" t="n">
        <v>15938</v>
      </c>
      <c r="D7" s="25" t="n">
        <v>18778</v>
      </c>
      <c r="E7" s="25" t="n">
        <v>31344</v>
      </c>
      <c r="F7" s="25" t="n">
        <v>26237</v>
      </c>
    </row>
    <row r="8">
      <c r="A8" s="3" t="inlineStr">
        <is>
          <t>Issuance Of Capital Stock</t>
        </is>
      </c>
      <c r="C8" s="25" t="n">
        <v>1514</v>
      </c>
      <c r="D8" s="25" t="n">
        <v>4514</v>
      </c>
      <c r="E8" s="25" t="n">
        <v>48</v>
      </c>
      <c r="F8" s="25" t="n">
        <v>2038</v>
      </c>
    </row>
    <row r="9">
      <c r="A9" s="3" t="inlineStr">
        <is>
          <t>Capital Expenditure</t>
        </is>
      </c>
      <c r="C9" s="25" t="n">
        <v>-9742</v>
      </c>
      <c r="D9" s="25" t="n">
        <v>-9548</v>
      </c>
      <c r="E9" s="25" t="n">
        <v>-8514</v>
      </c>
      <c r="F9" s="25" t="n">
        <v>-9274</v>
      </c>
    </row>
    <row r="10">
      <c r="A10" s="3" t="inlineStr">
        <is>
          <t>Interest Paid Supplemental Data</t>
        </is>
      </c>
      <c r="C10" s="25" t="n">
        <v>1375</v>
      </c>
      <c r="D10" s="25" t="n">
        <v>2463</v>
      </c>
      <c r="E10" s="25" t="n">
        <v>2737</v>
      </c>
      <c r="F10" s="25" t="n">
        <v>3501</v>
      </c>
    </row>
    <row r="11">
      <c r="A11" s="3" t="inlineStr">
        <is>
          <t>Income Tax Paid Supplemental Data</t>
        </is>
      </c>
      <c r="B11" s="25" t="n">
        <v>69</v>
      </c>
      <c r="D11" s="25" t="n">
        <v>321</v>
      </c>
    </row>
    <row r="12">
      <c r="A12" s="3" t="inlineStr">
        <is>
          <t>End Cash Position</t>
        </is>
      </c>
      <c r="C12" s="25" t="n">
        <v>3441</v>
      </c>
      <c r="D12" s="25" t="n">
        <v>3420</v>
      </c>
      <c r="E12" s="25" t="n">
        <v>1402</v>
      </c>
      <c r="F12" s="25" t="n">
        <v>3006</v>
      </c>
    </row>
    <row r="13">
      <c r="A13" s="3" t="inlineStr">
        <is>
          <t>Beginning Cash Position</t>
        </is>
      </c>
      <c r="C13" s="25" t="n">
        <v>1316</v>
      </c>
      <c r="D13" s="25" t="n">
        <v>3441</v>
      </c>
      <c r="E13" s="25" t="n">
        <v>3420</v>
      </c>
      <c r="F13" s="25" t="n">
        <v>1402</v>
      </c>
    </row>
    <row r="14">
      <c r="A14" s="3" t="inlineStr">
        <is>
          <t>Effect Of Exchange Rate Changes</t>
        </is>
      </c>
      <c r="C14" s="25" t="n">
        <v>-7</v>
      </c>
      <c r="D14" s="25" t="n">
        <v>-4</v>
      </c>
      <c r="E14" s="25" t="n">
        <v>-14</v>
      </c>
      <c r="F14" s="25" t="n">
        <v>5</v>
      </c>
    </row>
    <row r="15">
      <c r="A15" s="3" t="inlineStr">
        <is>
          <t>Changes In Cash</t>
        </is>
      </c>
      <c r="C15" s="25" t="n">
        <v>2132</v>
      </c>
      <c r="D15" s="25" t="n">
        <v>-17</v>
      </c>
      <c r="E15" s="25" t="n">
        <v>-2004</v>
      </c>
      <c r="F15" s="25" t="n">
        <v>1599</v>
      </c>
    </row>
    <row r="16">
      <c r="A16" s="3" t="inlineStr">
        <is>
          <t>Financing Cash Flow</t>
        </is>
      </c>
      <c r="C16" s="25" t="n">
        <v>12229</v>
      </c>
      <c r="D16" s="25" t="n">
        <v>12149</v>
      </c>
      <c r="E16" s="25" t="n">
        <v>7000</v>
      </c>
      <c r="F16" s="25" t="n">
        <v>12979</v>
      </c>
    </row>
    <row r="17">
      <c r="A17" s="3" t="inlineStr">
        <is>
          <t>Cash Flow From Continuing Financing Activities</t>
        </is>
      </c>
      <c r="C17" s="25" t="n">
        <v>12229</v>
      </c>
      <c r="D17" s="25" t="n">
        <v>12149</v>
      </c>
      <c r="E17" s="25" t="n">
        <v>7000</v>
      </c>
      <c r="F17" s="25" t="n">
        <v>12979</v>
      </c>
    </row>
    <row r="18">
      <c r="A18" s="3" t="inlineStr">
        <is>
          <t>Net Other Financing Charges</t>
        </is>
      </c>
      <c r="C18" s="25" t="n">
        <v>3779</v>
      </c>
      <c r="D18" s="25" t="n">
        <v>3230</v>
      </c>
      <c r="E18" s="25" t="n">
        <v>-451</v>
      </c>
      <c r="F18" s="25" t="n">
        <v>1898</v>
      </c>
    </row>
    <row r="19">
      <c r="A19" s="3" t="inlineStr">
        <is>
          <t>Cash Dividends Paid</t>
        </is>
      </c>
      <c r="C19" s="25" t="n">
        <v>-3352</v>
      </c>
      <c r="D19" s="25" t="n">
        <v>-3782</v>
      </c>
      <c r="E19" s="25" t="n">
        <v>-4235</v>
      </c>
      <c r="F19" s="25" t="n">
        <v>-4680</v>
      </c>
    </row>
    <row r="20">
      <c r="A20" s="3" t="inlineStr">
        <is>
          <t>Common Stock Dividend Paid</t>
        </is>
      </c>
      <c r="C20" s="25" t="n">
        <v>-3352</v>
      </c>
      <c r="D20" s="25" t="n">
        <v>-3782</v>
      </c>
      <c r="E20" s="25" t="n">
        <v>-4235</v>
      </c>
      <c r="F20" s="25" t="n">
        <v>-4680</v>
      </c>
    </row>
    <row r="21">
      <c r="A21" s="3" t="inlineStr">
        <is>
          <t>Net Common Stock Issuance</t>
        </is>
      </c>
      <c r="C21" s="25" t="n">
        <v>1514</v>
      </c>
      <c r="D21" s="25" t="n">
        <v>4514</v>
      </c>
      <c r="E21" s="25" t="n">
        <v>48</v>
      </c>
      <c r="F21" s="25" t="n">
        <v>2038</v>
      </c>
    </row>
    <row r="22">
      <c r="A22" s="3" t="inlineStr">
        <is>
          <t>Common Stock Issuance</t>
        </is>
      </c>
      <c r="C22" s="25" t="n">
        <v>1514</v>
      </c>
      <c r="D22" s="25" t="n">
        <v>4514</v>
      </c>
      <c r="E22" s="25" t="n">
        <v>48</v>
      </c>
      <c r="F22" s="25" t="n">
        <v>2038</v>
      </c>
    </row>
    <row r="23">
      <c r="A23" s="3" t="inlineStr">
        <is>
          <t>Net Issuance Payments Of Debt</t>
        </is>
      </c>
      <c r="C23" s="25" t="n">
        <v>10288</v>
      </c>
      <c r="D23" s="25" t="n">
        <v>8187</v>
      </c>
      <c r="E23" s="25" t="n">
        <v>11638</v>
      </c>
      <c r="F23" s="25" t="n">
        <v>13723</v>
      </c>
    </row>
    <row r="24">
      <c r="A24" s="3" t="inlineStr">
        <is>
          <t>Net Short Term Debt Issuance</t>
        </is>
      </c>
      <c r="C24" s="25" t="n">
        <v>957</v>
      </c>
      <c r="D24" s="25" t="n">
        <v>2308</v>
      </c>
      <c r="E24" s="25" t="n">
        <v>-3018</v>
      </c>
      <c r="F24" s="25" t="n">
        <v>676</v>
      </c>
    </row>
    <row r="25">
      <c r="A25" s="3" t="inlineStr">
        <is>
          <t>Short Term Debt Payments</t>
        </is>
      </c>
      <c r="C25" s="25" t="n">
        <v>-1125</v>
      </c>
      <c r="D25" s="25" t="n">
        <v>-2613</v>
      </c>
      <c r="E25" s="25" t="n">
        <v>-9593</v>
      </c>
      <c r="F25" s="25" t="n">
        <v>-2167</v>
      </c>
    </row>
    <row r="26">
      <c r="A26" s="3" t="inlineStr">
        <is>
          <t>Short Term Debt Issuance</t>
        </is>
      </c>
      <c r="C26" s="25" t="n">
        <v>2082</v>
      </c>
      <c r="D26" s="25" t="n">
        <v>4921</v>
      </c>
      <c r="E26" s="25" t="n">
        <v>6575</v>
      </c>
      <c r="F26" s="25" t="n">
        <v>2843</v>
      </c>
    </row>
    <row r="27">
      <c r="A27" s="3" t="inlineStr">
        <is>
          <t>Net Long Term Debt Issuance</t>
        </is>
      </c>
      <c r="C27" s="25" t="n">
        <v>9331</v>
      </c>
      <c r="D27" s="25" t="n">
        <v>5879</v>
      </c>
      <c r="E27" s="25" t="n">
        <v>14656</v>
      </c>
      <c r="F27" s="25" t="n">
        <v>13047</v>
      </c>
    </row>
    <row r="28">
      <c r="A28" s="3" t="inlineStr">
        <is>
          <t>Long Term Debt Payments</t>
        </is>
      </c>
      <c r="C28" s="25" t="n">
        <v>-4525</v>
      </c>
      <c r="D28" s="25" t="n">
        <v>-7978</v>
      </c>
      <c r="E28" s="25" t="n">
        <v>-10113</v>
      </c>
      <c r="F28" s="25" t="n">
        <v>-10347</v>
      </c>
    </row>
    <row r="29">
      <c r="A29" s="3" t="inlineStr">
        <is>
          <t>Long Term Debt Issuance</t>
        </is>
      </c>
      <c r="C29" s="25" t="n">
        <v>13856</v>
      </c>
      <c r="D29" s="25" t="n">
        <v>13857</v>
      </c>
      <c r="E29" s="25" t="n">
        <v>24769</v>
      </c>
      <c r="F29" s="25" t="n">
        <v>23394</v>
      </c>
    </row>
    <row r="30">
      <c r="A30" s="3" t="inlineStr">
        <is>
          <t>Investing Cash Flow</t>
        </is>
      </c>
      <c r="C30" s="25" t="n">
        <v>-18359</v>
      </c>
      <c r="D30" s="25" t="n">
        <v>-23467</v>
      </c>
      <c r="E30" s="25" t="n">
        <v>-22264</v>
      </c>
      <c r="F30" s="25" t="n">
        <v>-23865</v>
      </c>
    </row>
    <row r="31">
      <c r="A31" s="3" t="inlineStr">
        <is>
          <t>Cash Flow From Continuing Investing Activities</t>
        </is>
      </c>
      <c r="C31" s="25" t="n">
        <v>-18359</v>
      </c>
      <c r="D31" s="25" t="n">
        <v>-23467</v>
      </c>
      <c r="E31" s="25" t="n">
        <v>-22264</v>
      </c>
      <c r="F31" s="25" t="n">
        <v>-23865</v>
      </c>
    </row>
    <row r="32">
      <c r="A32" s="3" t="inlineStr">
        <is>
          <t>Net Other Investing Changes</t>
        </is>
      </c>
      <c r="C32" s="25" t="n">
        <v>89</v>
      </c>
      <c r="D32" s="25" t="n">
        <v>-110</v>
      </c>
      <c r="E32" s="25" t="n">
        <v>-16</v>
      </c>
      <c r="F32" s="25" t="n">
        <v>118</v>
      </c>
    </row>
    <row r="33">
      <c r="A33" s="3" t="inlineStr">
        <is>
          <t>Net Investment Purchase And Sale</t>
        </is>
      </c>
      <c r="C33" s="25" t="n">
        <v>-8706</v>
      </c>
      <c r="D33" s="25" t="n">
        <v>-14733</v>
      </c>
      <c r="E33" s="25" t="n">
        <v>-13734</v>
      </c>
      <c r="F33" s="25" t="n">
        <v>-14709</v>
      </c>
    </row>
    <row r="34">
      <c r="A34" s="3" t="inlineStr">
        <is>
          <t>Sale Of Investment</t>
        </is>
      </c>
      <c r="C34" s="25" t="n">
        <v>5421</v>
      </c>
      <c r="D34" s="25" t="n">
        <v>6758</v>
      </c>
      <c r="E34" s="25" t="n">
        <v>8104</v>
      </c>
      <c r="F34" s="25" t="n">
        <v>6516</v>
      </c>
    </row>
    <row r="35">
      <c r="A35" s="3" t="inlineStr">
        <is>
          <t>Purchase Of Investment</t>
        </is>
      </c>
      <c r="C35" s="25" t="n">
        <v>-14127</v>
      </c>
      <c r="D35" s="25" t="n">
        <v>-21491</v>
      </c>
      <c r="E35" s="25" t="n">
        <v>-21838</v>
      </c>
      <c r="F35" s="25" t="n">
        <v>-21225</v>
      </c>
    </row>
    <row r="36">
      <c r="A36" s="3" t="inlineStr">
        <is>
          <t>Net Business Purchase And Sale</t>
        </is>
      </c>
      <c r="C36" s="25" t="n">
        <v>0</v>
      </c>
      <c r="D36" s="25" t="n">
        <v>924</v>
      </c>
      <c r="E36" s="25" t="n">
        <v>0</v>
      </c>
      <c r="F36" s="25" t="n">
        <v>0</v>
      </c>
    </row>
    <row r="37">
      <c r="A37" s="3" t="inlineStr">
        <is>
          <t>Sale Of Business</t>
        </is>
      </c>
      <c r="C37" s="25" t="n">
        <v>0</v>
      </c>
      <c r="D37" s="25" t="n">
        <v>924</v>
      </c>
      <c r="E37" s="25" t="n">
        <v>0</v>
      </c>
      <c r="F37" s="25" t="n">
        <v>0</v>
      </c>
    </row>
    <row r="38">
      <c r="A38" s="3" t="inlineStr">
        <is>
          <t>Net PPE Purchase And Sale</t>
        </is>
      </c>
      <c r="C38" s="25" t="n">
        <v>-223</v>
      </c>
      <c r="D38" s="25" t="n">
        <v>-185</v>
      </c>
      <c r="E38" s="25" t="n">
        <v>-399</v>
      </c>
      <c r="F38" s="25" t="n">
        <v>-553</v>
      </c>
    </row>
    <row r="39">
      <c r="A39" s="3" t="inlineStr">
        <is>
          <t>Purchase Of PPE</t>
        </is>
      </c>
      <c r="C39" s="25" t="n">
        <v>-223</v>
      </c>
      <c r="D39" s="25" t="n">
        <v>-185</v>
      </c>
      <c r="E39" s="25" t="n">
        <v>-399</v>
      </c>
      <c r="F39" s="25" t="n">
        <v>-553</v>
      </c>
    </row>
    <row r="40">
      <c r="A40" s="3" t="inlineStr">
        <is>
          <t>Capital Expenditure Reported</t>
        </is>
      </c>
      <c r="C40" s="25" t="n">
        <v>-9519</v>
      </c>
      <c r="D40" s="25" t="n">
        <v>-9363</v>
      </c>
      <c r="E40" s="25" t="n">
        <v>-8115</v>
      </c>
      <c r="F40" s="25" t="n">
        <v>-8721</v>
      </c>
    </row>
    <row r="41">
      <c r="A41" s="3" t="inlineStr">
        <is>
          <t>Operating Cash Flow</t>
        </is>
      </c>
      <c r="C41" s="25" t="n">
        <v>8262</v>
      </c>
      <c r="D41" s="25" t="n">
        <v>11301</v>
      </c>
      <c r="E41" s="25" t="n">
        <v>13260</v>
      </c>
      <c r="F41" s="25" t="n">
        <v>12485</v>
      </c>
    </row>
    <row r="42">
      <c r="A42" s="3" t="inlineStr">
        <is>
          <t>Cash Flow From Continuing Operating Activities</t>
        </is>
      </c>
      <c r="C42" s="25" t="n">
        <v>8262</v>
      </c>
      <c r="D42" s="25" t="n">
        <v>11301</v>
      </c>
      <c r="E42" s="25" t="n">
        <v>13260</v>
      </c>
      <c r="F42" s="25" t="n">
        <v>12485</v>
      </c>
    </row>
    <row r="43">
      <c r="A43" s="3" t="inlineStr">
        <is>
          <t>Dividend Received Cfo</t>
        </is>
      </c>
      <c r="C43" s="25" t="n">
        <v>541</v>
      </c>
      <c r="D43" s="25" t="n">
        <v>712</v>
      </c>
      <c r="E43" s="25" t="n">
        <v>811</v>
      </c>
      <c r="F43" s="25" t="n">
        <v>446</v>
      </c>
    </row>
    <row r="44">
      <c r="A44" s="3" t="inlineStr">
        <is>
          <t>Change In Working Capital</t>
        </is>
      </c>
      <c r="C44" s="25" t="n">
        <v>412</v>
      </c>
      <c r="D44" s="25" t="n">
        <v>-1393</v>
      </c>
      <c r="E44" s="25" t="n">
        <v>160</v>
      </c>
      <c r="F44" s="25" t="n">
        <v>-373</v>
      </c>
    </row>
    <row r="45">
      <c r="A45" s="3" t="inlineStr">
        <is>
          <t>Change In Other Current Liabilities</t>
        </is>
      </c>
      <c r="C45" s="25" t="n">
        <v>1841</v>
      </c>
      <c r="D45" s="25" t="n">
        <v>-1043</v>
      </c>
      <c r="E45" s="25" t="n">
        <v>1015</v>
      </c>
      <c r="F45" s="25" t="n">
        <v>987</v>
      </c>
    </row>
    <row r="46">
      <c r="A46" s="3" t="inlineStr">
        <is>
          <t>Change In Other Current Assets</t>
        </is>
      </c>
      <c r="C46" s="25" t="n">
        <v>-1429</v>
      </c>
      <c r="D46" s="25" t="n">
        <v>-350</v>
      </c>
      <c r="E46" s="25" t="n">
        <v>-855</v>
      </c>
      <c r="F46" s="25" t="n">
        <v>-1360</v>
      </c>
    </row>
    <row r="47">
      <c r="A47" s="3" t="inlineStr">
        <is>
          <t>Other Non Cash Items</t>
        </is>
      </c>
      <c r="C47" s="25" t="n">
        <v>-2191</v>
      </c>
      <c r="D47" s="25" t="n">
        <v>739</v>
      </c>
      <c r="E47" s="25" t="n">
        <v>475</v>
      </c>
      <c r="F47" s="25" t="n">
        <v>-261</v>
      </c>
    </row>
    <row r="48">
      <c r="A48" s="3" t="inlineStr">
        <is>
          <t>Unrealized Gain Loss On Investment Securities</t>
        </is>
      </c>
      <c r="C48" s="25" t="n">
        <v>461</v>
      </c>
      <c r="D48" s="25" t="n">
        <v>-159</v>
      </c>
      <c r="E48" s="25" t="n">
        <v>-107</v>
      </c>
      <c r="F48" s="25" t="n">
        <v>-107</v>
      </c>
    </row>
    <row r="49">
      <c r="A49" s="3" t="inlineStr">
        <is>
          <t>Deferred Tax</t>
        </is>
      </c>
      <c r="C49" s="25" t="n">
        <v>534</v>
      </c>
      <c r="D49" s="25" t="n">
        <v>708</v>
      </c>
      <c r="E49" s="25" t="n">
        <v>1308</v>
      </c>
      <c r="F49" s="25" t="n">
        <v>453</v>
      </c>
    </row>
    <row r="50">
      <c r="A50" s="3" t="inlineStr">
        <is>
          <t>Deferred Income Tax</t>
        </is>
      </c>
      <c r="C50" s="25" t="n">
        <v>534</v>
      </c>
      <c r="D50" s="25" t="n">
        <v>708</v>
      </c>
      <c r="E50" s="25" t="n">
        <v>1308</v>
      </c>
      <c r="F50" s="25" t="n">
        <v>453</v>
      </c>
    </row>
    <row r="51">
      <c r="A51" s="3" t="inlineStr">
        <is>
          <t>Depreciation Amortization Depletion</t>
        </is>
      </c>
      <c r="C51" s="25" t="n">
        <v>4790</v>
      </c>
      <c r="D51" s="25" t="n">
        <v>6151</v>
      </c>
      <c r="E51" s="25" t="n">
        <v>5761</v>
      </c>
      <c r="F51" s="25" t="n">
        <v>6941</v>
      </c>
    </row>
    <row r="52">
      <c r="A52" s="3" t="inlineStr">
        <is>
          <t>Depreciation And Amortization</t>
        </is>
      </c>
      <c r="C52" s="25" t="n">
        <v>4790</v>
      </c>
      <c r="D52" s="25" t="n">
        <v>6151</v>
      </c>
      <c r="E52" s="25" t="n">
        <v>5761</v>
      </c>
      <c r="F52" s="25" t="n">
        <v>6941</v>
      </c>
    </row>
    <row r="53">
      <c r="A53" s="3" t="inlineStr">
        <is>
          <t>Depreciation</t>
        </is>
      </c>
      <c r="C53" s="25" t="n">
        <v>4790</v>
      </c>
      <c r="D53" s="25" t="n">
        <v>6151</v>
      </c>
      <c r="E53" s="25" t="n">
        <v>5761</v>
      </c>
      <c r="F53" s="25" t="n">
        <v>6941</v>
      </c>
    </row>
    <row r="54">
      <c r="A54" s="3" t="inlineStr">
        <is>
          <t>Operating Gains Losses</t>
        </is>
      </c>
      <c r="C54" s="25" t="n">
        <v>469</v>
      </c>
      <c r="D54" s="25" t="n">
        <v>-1739</v>
      </c>
      <c r="E54" s="25" t="n">
        <v>-846</v>
      </c>
      <c r="F54" s="25" t="n">
        <v>54</v>
      </c>
    </row>
    <row r="55">
      <c r="A55" s="3" t="inlineStr">
        <is>
          <t>Earnings Losses From Equity Investments</t>
        </is>
      </c>
      <c r="C55" s="25" t="n">
        <v>-203</v>
      </c>
      <c r="D55" s="25" t="n">
        <v>648</v>
      </c>
      <c r="E55" s="25" t="n">
        <v>246</v>
      </c>
      <c r="F55" s="25" t="n">
        <v>184</v>
      </c>
    </row>
    <row r="56">
      <c r="A56" s="3" t="inlineStr">
        <is>
          <t>Gain Loss On Investment Securities</t>
        </is>
      </c>
      <c r="C56" s="25" t="n">
        <v>1378</v>
      </c>
      <c r="D56" s="25" t="n">
        <v>-1949</v>
      </c>
      <c r="E56" s="25" t="n">
        <v>-492</v>
      </c>
      <c r="F56" s="25" t="n">
        <v>199</v>
      </c>
    </row>
    <row r="57">
      <c r="A57" s="3" t="inlineStr">
        <is>
          <t>Net Foreign Currency Exchange Gain Loss</t>
        </is>
      </c>
      <c r="C57" s="25" t="n">
        <v>-104</v>
      </c>
      <c r="D57" s="25" t="n">
        <v>92</v>
      </c>
      <c r="E57" s="25" t="n">
        <v>-85</v>
      </c>
      <c r="F57" s="25" t="n">
        <v>110</v>
      </c>
    </row>
    <row r="58">
      <c r="A58" s="3" t="inlineStr">
        <is>
          <t>Gain Loss On Sale Of Business</t>
        </is>
      </c>
      <c r="C58" s="25" t="n">
        <v>-602</v>
      </c>
      <c r="D58" s="25" t="n">
        <v>-530</v>
      </c>
      <c r="E58" s="25" t="n">
        <v>-515</v>
      </c>
      <c r="F58" s="25" t="n">
        <v>-439</v>
      </c>
    </row>
    <row r="59">
      <c r="A59" s="3" t="inlineStr">
        <is>
          <t>Net Income From Continuing Operations</t>
        </is>
      </c>
      <c r="C59" s="25" t="n">
        <v>3246</v>
      </c>
      <c r="D59" s="25" t="n">
        <v>6282</v>
      </c>
      <c r="E59" s="25" t="n">
        <v>5698</v>
      </c>
      <c r="F59" s="25" t="n">
        <v>5332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2026-10-13T14:26:15Z</dcterms:created>
  <dcterms:modified xmlns:dcterms="http://purl.org/dc/terms/" xmlns:xsi="http://www.w3.org/2001/XMLSchema-instance" xsi:type="dcterms:W3CDTF">2026-10-13T14:26:15Z</dcterms:modified>
</cp:coreProperties>
</file>