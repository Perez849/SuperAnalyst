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rget Price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IS (reported)" sheetId="9" state="visible" r:id="rId9"/>
    <sheet xmlns:r="http://schemas.openxmlformats.org/officeDocument/2006/relationships" name="BS (reported)" sheetId="10" state="visible" r:id="rId10"/>
    <sheet xmlns:r="http://schemas.openxmlformats.org/officeDocument/2006/relationships" name="CF (reported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-&quot;"/>
    <numFmt numFmtId="165" formatCode="#,##0;(#,##0);&quot;-&quot;"/>
    <numFmt numFmtId="166" formatCode="0.00%;(0.00%);&quot;-&quot;"/>
    <numFmt numFmtId="167" formatCode="0.0%;(0.0%);&quot;-&quot;"/>
    <numFmt numFmtId="168" formatCode="0.0"/>
    <numFmt numFmtId="169" formatCode="0.00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6F76"/>
      <sz val="9"/>
    </font>
    <font>
      <name val="Arial"/>
      <b val="1"/>
      <color rgb="000F6466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E1116"/>
      </patternFill>
    </fill>
    <fill>
      <patternFill patternType="solid">
        <fgColor rgb="00F1F0EA"/>
      </patternFill>
    </fill>
  </fills>
  <borders count="3">
    <border>
      <left/>
      <right/>
      <top/>
      <bottom/>
      <diagonal/>
    </border>
    <border>
      <top style="double"/>
    </border>
    <border>
      <top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167" fontId="10" fillId="0" borderId="0" pivotButton="0" quotePrefix="0" xfId="0"/>
    <xf numFmtId="164" fontId="5" fillId="0" borderId="0" pivotButton="0" quotePrefix="0" xfId="0"/>
    <xf numFmtId="166" fontId="7" fillId="0" borderId="0" pivotButton="0" quotePrefix="0" xfId="0"/>
    <xf numFmtId="0" fontId="3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167" fontId="5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164" fontId="9" fillId="0" borderId="2" pivotButton="0" quotePrefix="0" xfId="0"/>
    <xf numFmtId="166" fontId="5" fillId="0" borderId="0" pivotButton="0" quotePrefix="0" xfId="0"/>
    <xf numFmtId="164" fontId="4" fillId="0" borderId="0" pivotButton="0" quotePrefix="0" xfId="0"/>
    <xf numFmtId="164" fontId="9" fillId="0" borderId="1" pivotButton="0" quotePrefix="0" xfId="0"/>
    <xf numFmtId="165" fontId="5" fillId="0" borderId="0" pivotButton="0" quotePrefix="0" xfId="0"/>
    <xf numFmtId="165" fontId="4" fillId="0" borderId="0" pivotButton="0" quotePrefix="0" xfId="0"/>
    <xf numFmtId="165" fontId="11" fillId="0" borderId="2" pivotButton="0" quotePrefix="0" xfId="0"/>
    <xf numFmtId="166" fontId="5" fillId="2" borderId="0" pivotButton="0" quotePrefix="0" xfId="0"/>
    <xf numFmtId="2" fontId="5" fillId="2" borderId="0" pivotButton="0" quotePrefix="0" xfId="0"/>
    <xf numFmtId="165" fontId="7" fillId="0" borderId="0" pivotButton="0" quotePrefix="0" xfId="0"/>
    <xf numFmtId="166" fontId="9" fillId="0" borderId="1" pivotButton="0" quotePrefix="0" xfId="0"/>
    <xf numFmtId="165" fontId="5" fillId="4" borderId="0" pivotButton="0" quotePrefix="0" xfId="0"/>
    <xf numFmtId="167" fontId="4" fillId="4" borderId="0" pivotButton="0" quotePrefix="0" xfId="0"/>
    <xf numFmtId="165" fontId="4" fillId="4" borderId="0" pivotButton="0" quotePrefix="0" xfId="0"/>
    <xf numFmtId="165" fontId="7" fillId="4" borderId="0" pivotButton="0" quotePrefix="0" xfId="0"/>
    <xf numFmtId="165" fontId="9" fillId="4" borderId="2" pivotButton="0" quotePrefix="0" xfId="0"/>
    <xf numFmtId="165" fontId="9" fillId="0" borderId="2" pivotButton="0" quotePrefix="0" xfId="0"/>
    <xf numFmtId="168" fontId="4" fillId="0" borderId="0" pivotButton="0" quotePrefix="0" xfId="0"/>
    <xf numFmtId="169" fontId="7" fillId="0" borderId="0" pivotButton="0" quotePrefix="0" xfId="0"/>
    <xf numFmtId="167" fontId="7" fillId="0" borderId="0" pivotButton="0" quotePrefix="0" xfId="0"/>
    <xf numFmtId="164" fontId="9" fillId="0" borderId="0" pivotButton="0" quotePrefix="0" xfId="0"/>
    <xf numFmtId="167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Micron Technology, Inc. (MU)</t>
        </is>
      </c>
    </row>
    <row r="2">
      <c r="A2" s="2" t="inlineStr">
        <is>
          <t>Technology · Standard (forward multiples + DCF) · generated 2026-10-13 · data: Yahoo snapshot as of 2026-07-09</t>
        </is>
      </c>
    </row>
    <row r="4">
      <c r="A4" s="3" t="inlineStr">
        <is>
          <t>Current price</t>
        </is>
      </c>
      <c r="B4" s="4">
        <f>Assumptions!$B$5</f>
        <v/>
      </c>
    </row>
    <row r="5">
      <c r="A5" s="3" t="inlineStr">
        <is>
          <t>DCF value per share (one lens)</t>
        </is>
      </c>
      <c r="B5" s="4">
        <f>DCF!$B$24</f>
        <v/>
      </c>
    </row>
    <row r="6">
      <c r="A6" s="3" t="inlineStr">
        <is>
          <t>Upside / downside</t>
        </is>
      </c>
      <c r="B6" s="5">
        <f>DCF!$B$24/Assumptions!$B$5-1</f>
        <v/>
      </c>
    </row>
    <row r="7">
      <c r="A7" s="3" t="inlineStr">
        <is>
          <t>12-month price target (report)</t>
        </is>
      </c>
      <c r="B7" s="6" t="n">
        <v>1264.833590981985</v>
      </c>
    </row>
    <row r="8">
      <c r="A8" s="3" t="inlineStr">
        <is>
          <t>WACC</t>
        </is>
      </c>
      <c r="B8" s="7">
        <f>WACC!$B$10</f>
        <v/>
      </c>
    </row>
    <row r="10">
      <c r="A10" s="8" t="inlineStr">
        <is>
          <t>How to use</t>
        </is>
      </c>
    </row>
    <row r="11">
      <c r="A11" s="2" t="inlineStr">
        <is>
          <t>Blue cells are inputs — edit growth, margins, beta, ERP or terminal g</t>
        </is>
      </c>
    </row>
    <row r="12">
      <c r="A12" s="2" t="inlineStr">
        <is>
          <t>in the Assumptions sheet and everything recalculates live.</t>
        </is>
      </c>
    </row>
    <row r="13">
      <c r="A13" s="2" t="inlineStr">
        <is>
          <t>Black cells are formulas; green cells link across sheets.</t>
        </is>
      </c>
    </row>
    <row r="14">
      <c r="A14" s="2" t="inlineStr">
        <is>
          <t>The Sensitivity grid re-runs the full DCF per WACC/g pair.</t>
        </is>
      </c>
    </row>
    <row r="15">
      <c r="A15" s="2" t="inlineStr">
        <is>
          <t>Not investment advice. Verify source data before relying on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MU — 12-month price target (lens triangulation)</t>
        </is>
      </c>
    </row>
    <row r="2">
      <c r="A2" s="2" t="inlineStr">
        <is>
          <t>Blue = inputs (weights, Ke, dividends, Street weight); black = live formulas. Change a weight and the blended fair value and target recalculate. Guardrail exclusions are already reflected in the effective weights.</t>
        </is>
      </c>
    </row>
    <row r="4">
      <c r="A4" s="9" t="inlineStr">
        <is>
          <t>Lens</t>
        </is>
      </c>
      <c r="B4" s="10" t="inlineStr">
        <is>
          <t>Type</t>
        </is>
      </c>
      <c r="C4" s="10" t="inlineStr">
        <is>
          <t>Value / share</t>
        </is>
      </c>
      <c r="D4" s="10" t="inlineStr">
        <is>
          <t>Low</t>
        </is>
      </c>
      <c r="E4" s="10" t="inlineStr">
        <is>
          <t>High</t>
        </is>
      </c>
      <c r="F4" s="10" t="inlineStr">
        <is>
          <t>Weight</t>
        </is>
      </c>
      <c r="G4" s="10" t="inlineStr">
        <is>
          <t>Status</t>
        </is>
      </c>
    </row>
    <row r="5">
      <c r="A5" s="3" t="inlineStr">
        <is>
          <t>Discounted cash flow (FCFF)</t>
        </is>
      </c>
      <c r="B5" s="2" t="inlineStr">
        <is>
          <t>intrinsic</t>
        </is>
      </c>
      <c r="C5" s="6" t="n">
        <v>490.5879139380186</v>
      </c>
      <c r="D5" s="6" t="n">
        <v>411.2563747263457</v>
      </c>
      <c r="E5" s="6" t="n">
        <v>582.4683357171762</v>
      </c>
      <c r="F5" s="11" t="n">
        <v>0.2028985507246377</v>
      </c>
      <c r="G5" s="2" t="inlineStr">
        <is>
          <t>ok — down-weighted: 0.4x the median of the other lenses</t>
        </is>
      </c>
    </row>
    <row r="6">
      <c r="A6" s="3" t="inlineStr">
        <is>
          <t>Forward P/E</t>
        </is>
      </c>
      <c r="B6" s="2" t="inlineStr">
        <is>
          <t>relative</t>
        </is>
      </c>
      <c r="C6" s="6" t="n">
        <v>1269.66327309009</v>
      </c>
      <c r="D6" s="6" t="n">
        <v>1041.123883933874</v>
      </c>
      <c r="E6" s="6" t="n">
        <v>1498.202662246306</v>
      </c>
      <c r="F6" s="11" t="n">
        <v>0.4347826086956522</v>
      </c>
      <c r="G6" s="2" t="inlineStr">
        <is>
          <t>ok</t>
        </is>
      </c>
    </row>
    <row r="7">
      <c r="A7" s="3" t="inlineStr">
        <is>
          <t>Forward EV/EBITDA</t>
        </is>
      </c>
      <c r="B7" s="2" t="inlineStr">
        <is>
          <t>relative</t>
        </is>
      </c>
      <c r="C7" s="6" t="n">
        <v>1240.33347405206</v>
      </c>
      <c r="D7" s="6" t="n">
        <v>1016.281182540441</v>
      </c>
      <c r="E7" s="6" t="n">
        <v>1464.385765563679</v>
      </c>
      <c r="F7" s="11" t="n">
        <v>0.3623188405797102</v>
      </c>
      <c r="G7" s="2" t="inlineStr">
        <is>
          <t>ok</t>
        </is>
      </c>
    </row>
    <row r="9">
      <c r="A9" s="3" t="inlineStr">
        <is>
          <t>Weights sum</t>
        </is>
      </c>
      <c r="B9" s="12">
        <f>SUM(F5:F7)</f>
        <v/>
      </c>
    </row>
    <row r="10">
      <c r="A10" s="13" t="inlineStr">
        <is>
          <t>Blended fair value (today)</t>
        </is>
      </c>
      <c r="B10" s="14">
        <f>SUMPRODUCT(C5:C7,F5:F7)/SUM(F5:F7)</f>
        <v/>
      </c>
    </row>
    <row r="11">
      <c r="A11" s="3" t="inlineStr">
        <is>
          <t>Cost of equity (Ke)</t>
        </is>
      </c>
      <c r="B11" s="15" t="n">
        <v>0.1138122903126128</v>
      </c>
    </row>
    <row r="12">
      <c r="A12" s="3" t="inlineStr">
        <is>
          <t>Dividends per share (12m)</t>
        </is>
      </c>
      <c r="B12" s="6" t="n">
        <v>0.4622</v>
      </c>
    </row>
    <row r="13">
      <c r="A13" s="3" t="inlineStr">
        <is>
          <t>Model 12-month target = FV×(1+Ke)−DPS</t>
        </is>
      </c>
      <c r="B13" s="16">
        <f>$B$10*(1+$B$11)-$B$12</f>
        <v/>
      </c>
    </row>
    <row r="14">
      <c r="A14" s="3" t="inlineStr">
        <is>
          <t>Street mean target</t>
        </is>
      </c>
      <c r="B14" s="6" t="n">
        <v>1486</v>
      </c>
    </row>
    <row r="15">
      <c r="A15" s="3" t="inlineStr">
        <is>
          <t>Street weight in target</t>
        </is>
      </c>
      <c r="B15" s="11" t="n">
        <v>0.15</v>
      </c>
    </row>
    <row r="16">
      <c r="A16" s="13" t="inlineStr">
        <is>
          <t>Published 12-month target</t>
        </is>
      </c>
      <c r="B16" s="17">
        <f>(1-$B$15)*$B$13+$B$15*$B$14</f>
        <v/>
      </c>
    </row>
    <row r="17">
      <c r="A17" s="3" t="inlineStr">
        <is>
          <t>Current price</t>
        </is>
      </c>
      <c r="B17" s="6" t="n">
        <v>948.8</v>
      </c>
    </row>
    <row r="18">
      <c r="A18" s="3" t="inlineStr">
        <is>
          <t>Engine target (incl. plausibility band)</t>
        </is>
      </c>
      <c r="B18" s="6" t="n">
        <v>1264.833590981985</v>
      </c>
    </row>
    <row r="20">
      <c r="A20" s="8" t="inlineStr">
        <is>
          <t>Guardrails</t>
        </is>
      </c>
    </row>
    <row r="21">
      <c r="A21" s="2" t="inlineStr">
        <is>
          <t>Discounted cash flow (FCFF) sits 0.4x the lens median and was down-weighted by 60%.</t>
        </is>
      </c>
    </row>
    <row r="22">
      <c r="A22" s="2" t="inlineStr">
        <is>
          <t>Target anchored 15% to the Street consensus ($1,486.00); model-only target $1,225.80.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MU — projected P&amp;L &amp; levered FCF (DCF base case)</t>
        </is>
      </c>
    </row>
    <row r="2">
      <c r="A2" s="2" t="inlineStr">
        <is>
          <t>Blue = consensus-sourced figures; black = live formulas. Revenue and EBIT margin are the DCF base-case drivers; levered FCF = unlevered FCF less after-tax interest.</t>
        </is>
      </c>
    </row>
    <row r="4">
      <c r="A4" s="9" t="inlineStr">
        <is>
          <t>Line item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13" t="inlineStr">
        <is>
          <t>Revenue (mn)</t>
        </is>
      </c>
      <c r="B5" s="18" t="n">
        <v>129590</v>
      </c>
      <c r="C5" s="18" t="n">
        <v>234240</v>
      </c>
      <c r="D5" s="19" t="n">
        <v>258619.8028564394</v>
      </c>
      <c r="E5" s="19" t="n">
        <v>279149.0796650785</v>
      </c>
      <c r="F5" s="19" t="n">
        <v>296566.539726581</v>
      </c>
      <c r="G5" s="19" t="n">
        <v>311606.8470605715</v>
      </c>
      <c r="H5" s="19" t="n">
        <v>324907.1385926625</v>
      </c>
      <c r="I5" s="19" t="n">
        <v>336980.6129812768</v>
      </c>
      <c r="J5" s="19" t="n">
        <v>348222.8721527889</v>
      </c>
      <c r="K5" s="19" t="n">
        <v>356928.4439566086</v>
      </c>
    </row>
    <row r="6">
      <c r="A6" s="3" t="inlineStr">
        <is>
          <t>Revenue growth</t>
        </is>
      </c>
      <c r="B6" s="3" t="inlineStr">
        <is>
          <t>—</t>
        </is>
      </c>
      <c r="C6" s="12">
        <f>C5/B5-1</f>
        <v/>
      </c>
      <c r="D6" s="12">
        <f>D5/C5-1</f>
        <v/>
      </c>
      <c r="E6" s="12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</row>
    <row r="7">
      <c r="A7" s="3" t="inlineStr">
        <is>
          <t>EBIT margin</t>
        </is>
      </c>
      <c r="B7" s="11" t="n">
        <v>0.4734865725989986</v>
      </c>
      <c r="C7" s="11" t="n">
        <v>0.4734865725989986</v>
      </c>
      <c r="D7" s="11" t="n">
        <v>0.4331939645867951</v>
      </c>
      <c r="E7" s="11" t="n">
        <v>0.3929013565745916</v>
      </c>
      <c r="F7" s="11" t="n">
        <v>0.3526087485623881</v>
      </c>
      <c r="G7" s="11" t="n">
        <v>0.3123161405501845</v>
      </c>
      <c r="H7" s="11" t="n">
        <v>0.2720235325379809</v>
      </c>
      <c r="I7" s="11" t="n">
        <v>0.2317309245257775</v>
      </c>
      <c r="J7" s="11" t="n">
        <v>0.2317309245257775</v>
      </c>
      <c r="K7" s="11" t="n">
        <v>0.2317309245257775</v>
      </c>
    </row>
    <row r="8">
      <c r="A8" s="3" t="inlineStr">
        <is>
          <t>EBIT (mn)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9">
      <c r="A9" s="3" t="inlineStr">
        <is>
          <t>Net income (mn)</t>
        </is>
      </c>
      <c r="B9" s="18" t="n">
        <v>82807.10583131999</v>
      </c>
      <c r="C9" s="18" t="n">
        <v>169002.39111564</v>
      </c>
      <c r="D9" s="19" t="n">
        <v>90251.46527010441</v>
      </c>
      <c r="E9" s="19" t="n">
        <v>88346.6223310115</v>
      </c>
      <c r="F9" s="19" t="n">
        <v>84215.6520223738</v>
      </c>
      <c r="G9" s="19" t="n">
        <v>78348.49884989558</v>
      </c>
      <c r="H9" s="19" t="n">
        <v>71117.85032809456</v>
      </c>
      <c r="I9" s="19" t="n">
        <v>62790.08135416255</v>
      </c>
      <c r="J9" s="19" t="n">
        <v>64897.74213834155</v>
      </c>
      <c r="K9" s="19" t="n">
        <v>66529.83334126099</v>
      </c>
    </row>
    <row r="10">
      <c r="A10" s="3" t="inlineStr">
        <is>
          <t>EPS</t>
        </is>
      </c>
      <c r="B10" s="16">
        <f>B9*1000000/1129393151.0</f>
        <v/>
      </c>
      <c r="C10" s="16">
        <f>C9*1000000/1129393151.0</f>
        <v/>
      </c>
      <c r="D10" s="16">
        <f>D9*1000000/1129393151.0</f>
        <v/>
      </c>
      <c r="E10" s="16">
        <f>E9*1000000/1129393151.0</f>
        <v/>
      </c>
      <c r="F10" s="16">
        <f>F9*1000000/1129393151.0</f>
        <v/>
      </c>
      <c r="G10" s="16">
        <f>G9*1000000/1129393151.0</f>
        <v/>
      </c>
      <c r="H10" s="16">
        <f>H9*1000000/1129393151.0</f>
        <v/>
      </c>
      <c r="I10" s="16">
        <f>I9*1000000/1129393151.0</f>
        <v/>
      </c>
      <c r="J10" s="16">
        <f>J9*1000000/1129393151.0</f>
        <v/>
      </c>
      <c r="K10" s="16">
        <f>K9*1000000/1129393151.0</f>
        <v/>
      </c>
    </row>
    <row r="12">
      <c r="A12" s="13" t="inlineStr">
        <is>
          <t>Levered FCF (mn)</t>
        </is>
      </c>
      <c r="B12" s="20" t="n">
        <v>28805.05181774065</v>
      </c>
      <c r="C12" s="20" t="n">
        <v>59492.03935788296</v>
      </c>
      <c r="D12" s="20" t="n">
        <v>67143.9585526841</v>
      </c>
      <c r="E12" s="20" t="n">
        <v>65886.41222891305</v>
      </c>
      <c r="F12" s="20" t="n">
        <v>62836.08219156035</v>
      </c>
      <c r="G12" s="20" t="n">
        <v>58373.33348664458</v>
      </c>
      <c r="H12" s="20" t="n">
        <v>52795.41335332842</v>
      </c>
      <c r="I12" s="20" t="n">
        <v>46319.25506899595</v>
      </c>
      <c r="J12" s="20" t="n">
        <v>50446.45970531934</v>
      </c>
      <c r="K12" s="20" t="n">
        <v>54487.19885313424</v>
      </c>
    </row>
    <row r="13">
      <c r="A13" s="3" t="inlineStr">
        <is>
          <t>FCF margin</t>
        </is>
      </c>
      <c r="B13" s="12">
        <f>B12/B5</f>
        <v/>
      </c>
      <c r="C13" s="12">
        <f>C12/C5</f>
        <v/>
      </c>
      <c r="D13" s="12">
        <f>D12/D5</f>
        <v/>
      </c>
      <c r="E13" s="12">
        <f>E12/E5</f>
        <v/>
      </c>
      <c r="F13" s="12">
        <f>F12/F5</f>
        <v/>
      </c>
      <c r="G13" s="12">
        <f>G12/G5</f>
        <v/>
      </c>
      <c r="H13" s="12">
        <f>H12/H5</f>
        <v/>
      </c>
      <c r="I13" s="12">
        <f>I12/I5</f>
        <v/>
      </c>
      <c r="J13" s="12">
        <f>J12/J5</f>
        <v/>
      </c>
      <c r="K13" s="12">
        <f>K12/K5</f>
        <v/>
      </c>
    </row>
    <row r="15">
      <c r="A15" s="2" t="inlineStr">
        <is>
          <t>→ Unlevered FCF (before interest) is what the 'DCF' sheet discounts.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MU — Assumptions &amp; Drivers</t>
        </is>
      </c>
    </row>
    <row r="2">
      <c r="A2" s="2" t="inlineStr">
        <is>
          <t>Blue cells are inputs — change them and the whole model recalculates. Source: Yahoo snapshot as of 2026-07-09, retrieved 2026-10-13.</t>
        </is>
      </c>
    </row>
    <row r="4">
      <c r="A4" s="8" t="inlineStr">
        <is>
          <t>Market data</t>
        </is>
      </c>
    </row>
    <row r="5">
      <c r="A5" s="3" t="inlineStr">
        <is>
          <t>Share price (USD)</t>
        </is>
      </c>
      <c r="B5" s="6" t="n">
        <v>948.8</v>
      </c>
    </row>
    <row r="6">
      <c r="A6" s="3" t="inlineStr">
        <is>
          <t>Diluted shares (mn)</t>
        </is>
      </c>
      <c r="B6" s="18" t="n">
        <v>1129.393151</v>
      </c>
    </row>
    <row r="7">
      <c r="A7" s="3" t="inlineStr">
        <is>
          <t>Total debt (USDmm)</t>
        </is>
      </c>
      <c r="B7" s="18" t="n">
        <v>15278</v>
      </c>
    </row>
    <row r="8">
      <c r="A8" s="3" t="inlineStr">
        <is>
          <t>Cash &amp; ST investments (USDmm)</t>
        </is>
      </c>
      <c r="B8" s="18" t="n">
        <v>10307</v>
      </c>
    </row>
    <row r="9">
      <c r="A9" s="3" t="inlineStr">
        <is>
          <t>Minority interest (USDmm)</t>
        </is>
      </c>
      <c r="B9" s="18" t="n">
        <v>0</v>
      </c>
    </row>
    <row r="10">
      <c r="A10" s="3" t="inlineStr">
        <is>
          <t>Net debt (USDmm)</t>
        </is>
      </c>
      <c r="B10" s="19">
        <f>Assumptions!$B$7-Assumptions!$B$8</f>
        <v/>
      </c>
    </row>
    <row r="12">
      <c r="A12" s="8" t="inlineStr">
        <is>
          <t>Cost of capital inputs</t>
        </is>
      </c>
    </row>
    <row r="13">
      <c r="A13" s="3" t="inlineStr">
        <is>
          <t>Risk-free rate (Rf)</t>
        </is>
      </c>
      <c r="B13" s="21" t="n">
        <v>0.043</v>
      </c>
    </row>
    <row r="14">
      <c r="A14" s="3" t="inlineStr">
        <is>
          <t>Equity risk premium (ERP)</t>
        </is>
      </c>
      <c r="B14" s="21" t="n">
        <v>0.046</v>
      </c>
    </row>
    <row r="15">
      <c r="A15" s="3" t="inlineStr">
        <is>
          <t>Country risk premium</t>
        </is>
      </c>
      <c r="B15" s="15" t="n">
        <v>0</v>
      </c>
    </row>
    <row r="16">
      <c r="A16" s="3" t="inlineStr">
        <is>
          <t>Size premium</t>
        </is>
      </c>
      <c r="B16" s="15" t="n">
        <v>0</v>
      </c>
    </row>
    <row r="17">
      <c r="A17" s="3" t="inlineStr">
        <is>
          <t>Beta (levered)</t>
        </is>
      </c>
      <c r="B17" s="22" t="n">
        <v>1.54</v>
      </c>
    </row>
    <row r="18">
      <c r="A18" s="3" t="inlineStr">
        <is>
          <t>Pre-tax cost of debt</t>
        </is>
      </c>
      <c r="B18" s="15" t="n">
        <v>0.04899999999999999</v>
      </c>
    </row>
    <row r="19">
      <c r="A19" s="3" t="inlineStr">
        <is>
          <t>Tax rate</t>
        </is>
      </c>
      <c r="B19" s="11" t="n">
        <v>0.1909727915381248</v>
      </c>
    </row>
    <row r="21">
      <c r="A21" s="8" t="inlineStr">
        <is>
          <t>Terminal assumptions</t>
        </is>
      </c>
    </row>
    <row r="22">
      <c r="A22" s="3" t="inlineStr">
        <is>
          <t>Terminal growth (g)</t>
        </is>
      </c>
      <c r="B22" s="21" t="n">
        <v>0.025</v>
      </c>
    </row>
    <row r="24">
      <c r="A24" s="8" t="inlineStr">
        <is>
          <t>Per-year forecast drivers</t>
        </is>
      </c>
    </row>
    <row r="25">
      <c r="A25" s="9" t="inlineStr">
        <is>
          <t>Driver</t>
        </is>
      </c>
      <c r="B25" s="10" t="inlineStr">
        <is>
          <t>FY2026E</t>
        </is>
      </c>
      <c r="C25" s="10" t="inlineStr">
        <is>
          <t>FY2027E</t>
        </is>
      </c>
      <c r="D25" s="10" t="inlineStr">
        <is>
          <t>FY2028E</t>
        </is>
      </c>
      <c r="E25" s="10" t="inlineStr">
        <is>
          <t>FY2029E</t>
        </is>
      </c>
      <c r="F25" s="10" t="inlineStr">
        <is>
          <t>FY2030E</t>
        </is>
      </c>
      <c r="G25" s="10" t="inlineStr">
        <is>
          <t>FY2031E</t>
        </is>
      </c>
      <c r="H25" s="10" t="inlineStr">
        <is>
          <t>FY2032E</t>
        </is>
      </c>
      <c r="I25" s="10" t="inlineStr">
        <is>
          <t>FY2033E</t>
        </is>
      </c>
      <c r="J25" s="10" t="inlineStr">
        <is>
          <t>FY2034E</t>
        </is>
      </c>
      <c r="K25" s="10" t="inlineStr">
        <is>
          <t>FY2035E</t>
        </is>
      </c>
    </row>
    <row r="26">
      <c r="A26" s="3" t="inlineStr">
        <is>
          <t>Revenue growth</t>
        </is>
      </c>
      <c r="B26" s="11" t="n">
        <v>2.467012681256354</v>
      </c>
      <c r="C26" s="11" t="n">
        <v>0.8075468786171773</v>
      </c>
      <c r="D26" s="11" t="n">
        <v>0.1040804425223677</v>
      </c>
      <c r="E26" s="11" t="n">
        <v>0.07938014251768261</v>
      </c>
      <c r="F26" s="11" t="n">
        <v>0.06239483247589359</v>
      </c>
      <c r="G26" s="11" t="n">
        <v>0.05071478174124758</v>
      </c>
      <c r="H26" s="11" t="n">
        <v>0.04268292451707791</v>
      </c>
      <c r="I26" s="11" t="n">
        <v>0.03715976952956648</v>
      </c>
      <c r="J26" s="11" t="n">
        <v>0.03336173874233148</v>
      </c>
      <c r="K26" s="11" t="n">
        <v>0.025</v>
      </c>
    </row>
    <row r="27">
      <c r="A27" s="3" t="inlineStr">
        <is>
          <t>EBIT margin</t>
        </is>
      </c>
      <c r="B27" s="11" t="n">
        <v>0.4734865725989986</v>
      </c>
      <c r="C27" s="11" t="n">
        <v>0.4734865725989986</v>
      </c>
      <c r="D27" s="11" t="n">
        <v>0.4331939645867951</v>
      </c>
      <c r="E27" s="11" t="n">
        <v>0.3929013565745916</v>
      </c>
      <c r="F27" s="11" t="n">
        <v>0.3526087485623881</v>
      </c>
      <c r="G27" s="11" t="n">
        <v>0.3123161405501845</v>
      </c>
      <c r="H27" s="11" t="n">
        <v>0.2720235325379809</v>
      </c>
      <c r="I27" s="11" t="n">
        <v>0.2317309245257775</v>
      </c>
      <c r="J27" s="11" t="n">
        <v>0.2317309245257775</v>
      </c>
      <c r="K27" s="11" t="n">
        <v>0.2317309245257775</v>
      </c>
    </row>
    <row r="28">
      <c r="A28" s="3" t="inlineStr">
        <is>
          <t>D&amp;A % of revenue</t>
        </is>
      </c>
      <c r="B28" s="11" t="n">
        <v>0.3159312176568507</v>
      </c>
      <c r="C28" s="11" t="n">
        <v>0.3159312176568507</v>
      </c>
      <c r="D28" s="11" t="n">
        <v>0.3159312176568507</v>
      </c>
      <c r="E28" s="11" t="n">
        <v>0.3159312176568507</v>
      </c>
      <c r="F28" s="11" t="n">
        <v>0.3159312176568507</v>
      </c>
      <c r="G28" s="11" t="n">
        <v>0.3159312176568507</v>
      </c>
      <c r="H28" s="11" t="n">
        <v>0.3159312176568507</v>
      </c>
      <c r="I28" s="11" t="n">
        <v>0.3159312176568507</v>
      </c>
      <c r="J28" s="11" t="n">
        <v>0.3159312176568507</v>
      </c>
      <c r="K28" s="11" t="n">
        <v>0.3159312176568507</v>
      </c>
    </row>
    <row r="29">
      <c r="A29" s="3" t="inlineStr">
        <is>
          <t>Capex % of revenue</t>
        </is>
      </c>
      <c r="B29" s="11" t="n">
        <v>0.4111156318113486</v>
      </c>
      <c r="C29" s="11" t="n">
        <v>0.404049932657036</v>
      </c>
      <c r="D29" s="11" t="n">
        <v>0.3969842335027235</v>
      </c>
      <c r="E29" s="11" t="n">
        <v>0.389918534348411</v>
      </c>
      <c r="F29" s="11" t="n">
        <v>0.3828528351940985</v>
      </c>
      <c r="G29" s="11" t="n">
        <v>0.375787136039786</v>
      </c>
      <c r="H29" s="11" t="n">
        <v>0.3687214368854734</v>
      </c>
      <c r="I29" s="11" t="n">
        <v>0.3616557377311609</v>
      </c>
      <c r="J29" s="11" t="n">
        <v>0.3545900385768484</v>
      </c>
      <c r="K29" s="11" t="n">
        <v>0.3475243394225359</v>
      </c>
    </row>
    <row r="30">
      <c r="A30" s="3" t="inlineStr">
        <is>
          <t>ΔNWC % of Δrevenue</t>
        </is>
      </c>
      <c r="B30" s="11" t="n">
        <v>0.08800693553902628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Cost of capital (CAPM)</t>
        </is>
      </c>
    </row>
    <row r="2">
      <c r="A2" s="2" t="inlineStr">
        <is>
          <t>All formulas reference the Assumptions sheet.</t>
        </is>
      </c>
    </row>
    <row r="4">
      <c r="A4" s="3" t="inlineStr">
        <is>
          <t>Cost of equity (Ke = Rf + β·ERP + CRP + size)</t>
        </is>
      </c>
      <c r="B4" s="7">
        <f>Assumptions!$B$13+Assumptions!$B$17*Assumptions!$B$14+Assumptions!$B$15+Assumptions!$B$16</f>
        <v/>
      </c>
    </row>
    <row r="5">
      <c r="A5" s="3" t="inlineStr">
        <is>
          <t>After-tax cost of debt (Kd·(1−t))</t>
        </is>
      </c>
      <c r="B5" s="7">
        <f>Assumptions!$B$18*(1-Assumptions!$B$19)</f>
        <v/>
      </c>
    </row>
    <row r="6">
      <c r="A6" s="3" t="inlineStr">
        <is>
          <t>Market value of equity (mm)</t>
        </is>
      </c>
      <c r="B6" s="23">
        <f>Assumptions!$B$5*Assumptions!$B$6</f>
        <v/>
      </c>
    </row>
    <row r="7">
      <c r="A7" s="3" t="inlineStr">
        <is>
          <t>Debt (book, mm)</t>
        </is>
      </c>
      <c r="B7" s="23">
        <f>Assumptions!$B$7</f>
        <v/>
      </c>
    </row>
    <row r="8">
      <c r="A8" s="3" t="inlineStr">
        <is>
          <t>Weight of equity</t>
        </is>
      </c>
      <c r="B8" s="12">
        <f>WACC!$B$6/(WACC!$B$6+WACC!$B$7)</f>
        <v/>
      </c>
    </row>
    <row r="9">
      <c r="A9" s="3" t="inlineStr">
        <is>
          <t>Weight of debt</t>
        </is>
      </c>
      <c r="B9" s="12">
        <f>1-WACC!$B$8</f>
        <v/>
      </c>
    </row>
    <row r="10">
      <c r="A10" s="13" t="inlineStr">
        <is>
          <t>WACC</t>
        </is>
      </c>
      <c r="B10" s="24">
        <f>WACC!$B$8*WACC!$B$4+WACC!$B$9*WACC!$B$5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Operating model (USDmm)</t>
        </is>
      </c>
    </row>
    <row r="2">
      <c r="A2" s="2" t="inlineStr">
        <is>
          <t>Shaded columns are reported actuals (blue hardcodes, sourced); unshaded are forecast formulas driven by the Assumptions sheet.</t>
        </is>
      </c>
    </row>
    <row r="4">
      <c r="A4" s="9" t="inlineStr">
        <is>
          <t>Line item</t>
        </is>
      </c>
      <c r="B4" s="10" t="inlineStr">
        <is>
          <t>FY2022A</t>
        </is>
      </c>
      <c r="C4" s="10" t="inlineStr">
        <is>
          <t>FY2023A</t>
        </is>
      </c>
      <c r="D4" s="10" t="inlineStr">
        <is>
          <t>FY2024A</t>
        </is>
      </c>
      <c r="E4" s="10" t="inlineStr">
        <is>
          <t>FY2025A</t>
        </is>
      </c>
      <c r="F4" s="10" t="inlineStr">
        <is>
          <t>FY2026E</t>
        </is>
      </c>
      <c r="G4" s="10" t="inlineStr">
        <is>
          <t>FY2027E</t>
        </is>
      </c>
      <c r="H4" s="10" t="inlineStr">
        <is>
          <t>FY2028E</t>
        </is>
      </c>
      <c r="I4" s="10" t="inlineStr">
        <is>
          <t>FY2029E</t>
        </is>
      </c>
      <c r="J4" s="10" t="inlineStr">
        <is>
          <t>FY2030E</t>
        </is>
      </c>
      <c r="K4" s="10" t="inlineStr">
        <is>
          <t>FY2031E</t>
        </is>
      </c>
      <c r="L4" s="10" t="inlineStr">
        <is>
          <t>FY2032E</t>
        </is>
      </c>
      <c r="M4" s="10" t="inlineStr">
        <is>
          <t>FY2033E</t>
        </is>
      </c>
      <c r="N4" s="10" t="inlineStr">
        <is>
          <t>FY2034E</t>
        </is>
      </c>
      <c r="O4" s="10" t="inlineStr">
        <is>
          <t>FY2035E</t>
        </is>
      </c>
    </row>
    <row r="5">
      <c r="A5" s="3" t="inlineStr">
        <is>
          <t>Revenue</t>
        </is>
      </c>
      <c r="B5" s="25" t="n">
        <v>30758</v>
      </c>
      <c r="C5" s="25" t="n">
        <v>15540</v>
      </c>
      <c r="D5" s="25" t="n">
        <v>25111</v>
      </c>
      <c r="E5" s="25" t="n">
        <v>37378</v>
      </c>
      <c r="F5" s="19">
        <f>E5*(1+Assumptions!B$26)</f>
        <v/>
      </c>
      <c r="G5" s="19">
        <f>F5*(1+Assumptions!C$26)</f>
        <v/>
      </c>
      <c r="H5" s="19">
        <f>G5*(1+Assumptions!D$26)</f>
        <v/>
      </c>
      <c r="I5" s="19">
        <f>H5*(1+Assumptions!E$26)</f>
        <v/>
      </c>
      <c r="J5" s="19">
        <f>I5*(1+Assumptions!F$26)</f>
        <v/>
      </c>
      <c r="K5" s="19">
        <f>J5*(1+Assumptions!G$26)</f>
        <v/>
      </c>
      <c r="L5" s="19">
        <f>K5*(1+Assumptions!H$26)</f>
        <v/>
      </c>
      <c r="M5" s="19">
        <f>L5*(1+Assumptions!I$26)</f>
        <v/>
      </c>
      <c r="N5" s="19">
        <f>M5*(1+Assumptions!J$26)</f>
        <v/>
      </c>
      <c r="O5" s="19">
        <f>N5*(1+Assumptions!K$26)</f>
        <v/>
      </c>
    </row>
    <row r="6">
      <c r="A6" s="3" t="inlineStr">
        <is>
          <t xml:space="preserve">  growth %</t>
        </is>
      </c>
      <c r="C6" s="26">
        <f>C5/B5-1</f>
        <v/>
      </c>
      <c r="D6" s="26">
        <f>D5/C5-1</f>
        <v/>
      </c>
      <c r="E6" s="26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  <c r="L6" s="12">
        <f>L5/K5-1</f>
        <v/>
      </c>
      <c r="M6" s="12">
        <f>M5/L5-1</f>
        <v/>
      </c>
      <c r="N6" s="12">
        <f>N5/M5-1</f>
        <v/>
      </c>
      <c r="O6" s="12">
        <f>O5/N5-1</f>
        <v/>
      </c>
    </row>
    <row r="7">
      <c r="A7" s="3" t="inlineStr">
        <is>
          <t>EBIT</t>
        </is>
      </c>
      <c r="B7" s="25" t="n">
        <v>9709</v>
      </c>
      <c r="C7" s="25" t="n">
        <v>-5405</v>
      </c>
      <c r="D7" s="25" t="n">
        <v>1305</v>
      </c>
      <c r="E7" s="25" t="n">
        <v>9809</v>
      </c>
      <c r="F7" s="19">
        <f>F5*Assumptions!B$27</f>
        <v/>
      </c>
      <c r="G7" s="19">
        <f>G5*Assumptions!C$27</f>
        <v/>
      </c>
      <c r="H7" s="19">
        <f>H5*Assumptions!D$27</f>
        <v/>
      </c>
      <c r="I7" s="19">
        <f>I5*Assumptions!E$27</f>
        <v/>
      </c>
      <c r="J7" s="19">
        <f>J5*Assumptions!F$27</f>
        <v/>
      </c>
      <c r="K7" s="19">
        <f>K5*Assumptions!G$27</f>
        <v/>
      </c>
      <c r="L7" s="19">
        <f>L5*Assumptions!H$27</f>
        <v/>
      </c>
      <c r="M7" s="19">
        <f>M5*Assumptions!I$27</f>
        <v/>
      </c>
      <c r="N7" s="19">
        <f>N5*Assumptions!J$27</f>
        <v/>
      </c>
      <c r="O7" s="19">
        <f>O5*Assumptions!K$27</f>
        <v/>
      </c>
    </row>
    <row r="8">
      <c r="A8" s="3" t="inlineStr">
        <is>
          <t xml:space="preserve">  EBIT margin %</t>
        </is>
      </c>
      <c r="B8" s="26">
        <f>B7/B5</f>
        <v/>
      </c>
      <c r="C8" s="26">
        <f>C7/C5</f>
        <v/>
      </c>
      <c r="D8" s="26">
        <f>D7/D5</f>
        <v/>
      </c>
      <c r="E8" s="26">
        <f>E7/E5</f>
        <v/>
      </c>
      <c r="F8" s="12">
        <f>F7/F5</f>
        <v/>
      </c>
      <c r="G8" s="12">
        <f>G7/G5</f>
        <v/>
      </c>
      <c r="H8" s="12">
        <f>H7/H5</f>
        <v/>
      </c>
      <c r="I8" s="12">
        <f>I7/I5</f>
        <v/>
      </c>
      <c r="J8" s="12">
        <f>J7/J5</f>
        <v/>
      </c>
      <c r="K8" s="12">
        <f>K7/K5</f>
        <v/>
      </c>
      <c r="L8" s="12">
        <f>L7/L5</f>
        <v/>
      </c>
      <c r="M8" s="12">
        <f>M7/M5</f>
        <v/>
      </c>
      <c r="N8" s="12">
        <f>N7/N5</f>
        <v/>
      </c>
      <c r="O8" s="12">
        <f>O7/O5</f>
        <v/>
      </c>
    </row>
    <row r="9">
      <c r="A9" s="3" t="inlineStr">
        <is>
          <t>D&amp;A</t>
        </is>
      </c>
      <c r="B9" s="25" t="n">
        <v>7116</v>
      </c>
      <c r="C9" s="25" t="n">
        <v>7756</v>
      </c>
      <c r="D9" s="25" t="n">
        <v>7780</v>
      </c>
      <c r="E9" s="25" t="n">
        <v>8352</v>
      </c>
      <c r="F9" s="19">
        <f>F5*Assumptions!B$28</f>
        <v/>
      </c>
      <c r="G9" s="19">
        <f>G5*Assumptions!C$28</f>
        <v/>
      </c>
      <c r="H9" s="19">
        <f>H5*Assumptions!D$28</f>
        <v/>
      </c>
      <c r="I9" s="19">
        <f>I5*Assumptions!E$28</f>
        <v/>
      </c>
      <c r="J9" s="19">
        <f>J5*Assumptions!F$28</f>
        <v/>
      </c>
      <c r="K9" s="19">
        <f>K5*Assumptions!G$28</f>
        <v/>
      </c>
      <c r="L9" s="19">
        <f>L5*Assumptions!H$28</f>
        <v/>
      </c>
      <c r="M9" s="19">
        <f>M5*Assumptions!I$28</f>
        <v/>
      </c>
      <c r="N9" s="19">
        <f>N5*Assumptions!J$28</f>
        <v/>
      </c>
      <c r="O9" s="19">
        <f>O5*Assumptions!K$28</f>
        <v/>
      </c>
    </row>
    <row r="10">
      <c r="A10" s="3" t="inlineStr">
        <is>
          <t>EBITDA</t>
        </is>
      </c>
      <c r="B10" s="27">
        <f>B7+B9</f>
        <v/>
      </c>
      <c r="C10" s="27">
        <f>C7+C9</f>
        <v/>
      </c>
      <c r="D10" s="27">
        <f>D7+D9</f>
        <v/>
      </c>
      <c r="E10" s="27">
        <f>E7+E9</f>
        <v/>
      </c>
      <c r="F10" s="19">
        <f>F7+F9</f>
        <v/>
      </c>
      <c r="G10" s="19">
        <f>G7+G9</f>
        <v/>
      </c>
      <c r="H10" s="19">
        <f>H7+H9</f>
        <v/>
      </c>
      <c r="I10" s="19">
        <f>I7+I9</f>
        <v/>
      </c>
      <c r="J10" s="19">
        <f>J7+J9</f>
        <v/>
      </c>
      <c r="K10" s="19">
        <f>K7+K9</f>
        <v/>
      </c>
      <c r="L10" s="19">
        <f>L7+L9</f>
        <v/>
      </c>
      <c r="M10" s="19">
        <f>M7+M9</f>
        <v/>
      </c>
      <c r="N10" s="19">
        <f>N7+N9</f>
        <v/>
      </c>
      <c r="O10" s="19">
        <f>O7+O9</f>
        <v/>
      </c>
    </row>
    <row r="11">
      <c r="A11" s="3" t="inlineStr">
        <is>
          <t>NOPAT (EBIT×(1−t))</t>
        </is>
      </c>
      <c r="B11" s="28">
        <f>B7*(1-Assumptions!$B$19)</f>
        <v/>
      </c>
      <c r="C11" s="28">
        <f>C7*(1-Assumptions!$B$19)</f>
        <v/>
      </c>
      <c r="D11" s="28">
        <f>D7*(1-Assumptions!$B$19)</f>
        <v/>
      </c>
      <c r="E11" s="28">
        <f>E7*(1-Assumptions!$B$19)</f>
        <v/>
      </c>
      <c r="F11" s="23">
        <f>F7*(1-Assumptions!$B$19)</f>
        <v/>
      </c>
      <c r="G11" s="23">
        <f>G7*(1-Assumptions!$B$19)</f>
        <v/>
      </c>
      <c r="H11" s="23">
        <f>H7*(1-Assumptions!$B$19)</f>
        <v/>
      </c>
      <c r="I11" s="23">
        <f>I7*(1-Assumptions!$B$19)</f>
        <v/>
      </c>
      <c r="J11" s="23">
        <f>J7*(1-Assumptions!$B$19)</f>
        <v/>
      </c>
      <c r="K11" s="23">
        <f>K7*(1-Assumptions!$B$19)</f>
        <v/>
      </c>
      <c r="L11" s="23">
        <f>L7*(1-Assumptions!$B$19)</f>
        <v/>
      </c>
      <c r="M11" s="23">
        <f>M7*(1-Assumptions!$B$19)</f>
        <v/>
      </c>
      <c r="N11" s="23">
        <f>N7*(1-Assumptions!$B$19)</f>
        <v/>
      </c>
      <c r="O11" s="23">
        <f>O7*(1-Assumptions!$B$19)</f>
        <v/>
      </c>
    </row>
    <row r="12">
      <c r="A12" s="3" t="inlineStr">
        <is>
          <t>Capex</t>
        </is>
      </c>
      <c r="B12" s="25" t="n">
        <v>12067</v>
      </c>
      <c r="C12" s="25" t="n">
        <v>7676</v>
      </c>
      <c r="D12" s="25" t="n">
        <v>8386</v>
      </c>
      <c r="E12" s="25" t="n">
        <v>15857</v>
      </c>
      <c r="F12" s="19">
        <f>F5*Assumptions!B$29</f>
        <v/>
      </c>
      <c r="G12" s="19">
        <f>G5*Assumptions!C$29</f>
        <v/>
      </c>
      <c r="H12" s="19">
        <f>H5*Assumptions!D$29</f>
        <v/>
      </c>
      <c r="I12" s="19">
        <f>I5*Assumptions!E$29</f>
        <v/>
      </c>
      <c r="J12" s="19">
        <f>J5*Assumptions!F$29</f>
        <v/>
      </c>
      <c r="K12" s="19">
        <f>K5*Assumptions!G$29</f>
        <v/>
      </c>
      <c r="L12" s="19">
        <f>L5*Assumptions!H$29</f>
        <v/>
      </c>
      <c r="M12" s="19">
        <f>M5*Assumptions!I$29</f>
        <v/>
      </c>
      <c r="N12" s="19">
        <f>N5*Assumptions!J$29</f>
        <v/>
      </c>
      <c r="O12" s="19">
        <f>O5*Assumptions!K$29</f>
        <v/>
      </c>
    </row>
    <row r="13">
      <c r="A13" s="3" t="inlineStr">
        <is>
          <t>Δ Net working capital</t>
        </is>
      </c>
      <c r="B13" s="25" t="n">
        <v>1255</v>
      </c>
      <c r="C13" s="25" t="n">
        <v>2911</v>
      </c>
      <c r="D13" s="25" t="n">
        <v>1165</v>
      </c>
      <c r="E13" s="25" t="n">
        <v>666</v>
      </c>
      <c r="F13" s="19">
        <f>(F5-E5)*Assumptions!$B$30</f>
        <v/>
      </c>
      <c r="G13" s="19">
        <f>(G5-F5)*Assumptions!$B$30</f>
        <v/>
      </c>
      <c r="H13" s="19">
        <f>(H5-G5)*Assumptions!$B$30</f>
        <v/>
      </c>
      <c r="I13" s="19">
        <f>(I5-H5)*Assumptions!$B$30</f>
        <v/>
      </c>
      <c r="J13" s="19">
        <f>(J5-I5)*Assumptions!$B$30</f>
        <v/>
      </c>
      <c r="K13" s="19">
        <f>(K5-J5)*Assumptions!$B$30</f>
        <v/>
      </c>
      <c r="L13" s="19">
        <f>(L5-K5)*Assumptions!$B$30</f>
        <v/>
      </c>
      <c r="M13" s="19">
        <f>(M5-L5)*Assumptions!$B$30</f>
        <v/>
      </c>
      <c r="N13" s="19">
        <f>(N5-M5)*Assumptions!$B$30</f>
        <v/>
      </c>
      <c r="O13" s="19">
        <f>(O5-N5)*Assumptions!$B$30</f>
        <v/>
      </c>
    </row>
    <row r="14">
      <c r="A14" s="13" t="inlineStr">
        <is>
          <t>FCFF</t>
        </is>
      </c>
      <c r="B14" s="29">
        <f>B11+B9-B12-B13</f>
        <v/>
      </c>
      <c r="C14" s="29">
        <f>C11+C9-C12-C13</f>
        <v/>
      </c>
      <c r="D14" s="29">
        <f>D11+D9-D12-D13</f>
        <v/>
      </c>
      <c r="E14" s="29">
        <f>E11+E9-E12-E13</f>
        <v/>
      </c>
      <c r="F14" s="30">
        <f>F11+F9-F12-F13</f>
        <v/>
      </c>
      <c r="G14" s="30">
        <f>G11+G9-G12-G13</f>
        <v/>
      </c>
      <c r="H14" s="30">
        <f>H11+H9-H12-H13</f>
        <v/>
      </c>
      <c r="I14" s="30">
        <f>I11+I9-I12-I13</f>
        <v/>
      </c>
      <c r="J14" s="30">
        <f>J11+J9-J12-J13</f>
        <v/>
      </c>
      <c r="K14" s="30">
        <f>K11+K9-K12-K13</f>
        <v/>
      </c>
      <c r="L14" s="30">
        <f>L11+L9-L12-L13</f>
        <v/>
      </c>
      <c r="M14" s="30">
        <f>M11+M9-M12-M13</f>
        <v/>
      </c>
      <c r="N14" s="30">
        <f>N11+N9-N12-N13</f>
        <v/>
      </c>
      <c r="O14" s="30">
        <f>O11+O9-O12-O13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Discounted cash flow (USDmm)</t>
        </is>
      </c>
    </row>
    <row r="2">
      <c r="A2" s="2" t="inlineStr">
        <is>
          <t>Mid-year convention. Terminal value is reinvestment-consistent: TV = NOPATn·(1+g)·(1−g/ROIC)/(WACC−g).</t>
        </is>
      </c>
    </row>
    <row r="4">
      <c r="A4" s="9" t="inlineStr">
        <is>
          <t>Year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3" t="inlineStr">
        <is>
          <t>FCFF (from Model)</t>
        </is>
      </c>
      <c r="B5" s="23">
        <f>Model!F14</f>
        <v/>
      </c>
      <c r="C5" s="23">
        <f>Model!G14</f>
        <v/>
      </c>
      <c r="D5" s="23">
        <f>Model!H14</f>
        <v/>
      </c>
      <c r="E5" s="23">
        <f>Model!I14</f>
        <v/>
      </c>
      <c r="F5" s="23">
        <f>Model!J14</f>
        <v/>
      </c>
      <c r="G5" s="23">
        <f>Model!K14</f>
        <v/>
      </c>
      <c r="H5" s="23">
        <f>Model!L14</f>
        <v/>
      </c>
      <c r="I5" s="23">
        <f>Model!M14</f>
        <v/>
      </c>
      <c r="J5" s="23">
        <f>Model!N14</f>
        <v/>
      </c>
      <c r="K5" s="23">
        <f>Model!O14</f>
        <v/>
      </c>
    </row>
    <row r="6">
      <c r="A6" s="3" t="inlineStr">
        <is>
          <t>Period (mid-year, t−0.5)</t>
        </is>
      </c>
      <c r="B6" s="31" t="n">
        <v>0.5</v>
      </c>
      <c r="C6" s="31" t="n">
        <v>1.5</v>
      </c>
      <c r="D6" s="31" t="n">
        <v>2.5</v>
      </c>
      <c r="E6" s="31" t="n">
        <v>3.5</v>
      </c>
      <c r="F6" s="31" t="n">
        <v>4.5</v>
      </c>
      <c r="G6" s="31" t="n">
        <v>5.5</v>
      </c>
      <c r="H6" s="31" t="n">
        <v>6.5</v>
      </c>
      <c r="I6" s="31" t="n">
        <v>7.5</v>
      </c>
      <c r="J6" s="31" t="n">
        <v>8.5</v>
      </c>
      <c r="K6" s="31" t="n">
        <v>9.5</v>
      </c>
    </row>
    <row r="7">
      <c r="A7" s="3" t="inlineStr">
        <is>
          <t>Discount factor</t>
        </is>
      </c>
      <c r="B7" s="32">
        <f>1/(1+WACC!$B$10)^B6</f>
        <v/>
      </c>
      <c r="C7" s="32">
        <f>1/(1+WACC!$B$10)^C6</f>
        <v/>
      </c>
      <c r="D7" s="32">
        <f>1/(1+WACC!$B$10)^D6</f>
        <v/>
      </c>
      <c r="E7" s="32">
        <f>1/(1+WACC!$B$10)^E6</f>
        <v/>
      </c>
      <c r="F7" s="32">
        <f>1/(1+WACC!$B$10)^F6</f>
        <v/>
      </c>
      <c r="G7" s="32">
        <f>1/(1+WACC!$B$10)^G6</f>
        <v/>
      </c>
      <c r="H7" s="32">
        <f>1/(1+WACC!$B$10)^H6</f>
        <v/>
      </c>
      <c r="I7" s="32">
        <f>1/(1+WACC!$B$10)^I6</f>
        <v/>
      </c>
      <c r="J7" s="32">
        <f>1/(1+WACC!$B$10)^J6</f>
        <v/>
      </c>
      <c r="K7" s="32">
        <f>1/(1+WACC!$B$10)^K6</f>
        <v/>
      </c>
    </row>
    <row r="8">
      <c r="A8" s="3" t="inlineStr">
        <is>
          <t>PV of FCFF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10">
      <c r="A10" s="3" t="inlineStr">
        <is>
          <t>PV of explicit FCFF</t>
        </is>
      </c>
      <c r="B10" s="19">
        <f>SUM(B8:K8)</f>
        <v/>
      </c>
    </row>
    <row r="11">
      <c r="A11" s="3" t="inlineStr">
        <is>
          <t>Terminal NOPAT (FYn)</t>
        </is>
      </c>
      <c r="B11" s="23">
        <f>Model!O11</f>
        <v/>
      </c>
    </row>
    <row r="12">
      <c r="A12" s="3" t="inlineStr">
        <is>
          <t>Invested capital (mm)</t>
        </is>
      </c>
      <c r="B12" s="18" t="n">
        <v>59136</v>
      </c>
    </row>
    <row r="13">
      <c r="A13" s="3" t="inlineStr">
        <is>
          <t>Terminal invested capital (scaled w/ revenue)</t>
        </is>
      </c>
      <c r="B13" s="23">
        <f>$B$12*Model!O5/Model!E5</f>
        <v/>
      </c>
    </row>
    <row r="14">
      <c r="A14" s="3" t="inlineStr">
        <is>
          <t>Terminal ROIC</t>
        </is>
      </c>
      <c r="B14" s="12">
        <f>MAX($B$11/$B$13,WACC!$B$10)</f>
        <v/>
      </c>
    </row>
    <row r="15">
      <c r="A15" s="3" t="inlineStr">
        <is>
          <t>Terminal reinvestment rate (g/ROIC)</t>
        </is>
      </c>
      <c r="B15" s="33">
        <f>Assumptions!$B$22/$B$14</f>
        <v/>
      </c>
    </row>
    <row r="16">
      <c r="A16" s="3" t="inlineStr">
        <is>
          <t>Terminal value (Gordon)</t>
        </is>
      </c>
      <c r="B16" s="19">
        <f>$B$11*(1+Assumptions!$B$22)*(1-$B$15)/(WACC!$B$10-Assumptions!$B$22)</f>
        <v/>
      </c>
    </row>
    <row r="17">
      <c r="A17" s="3" t="inlineStr">
        <is>
          <t>PV of terminal value</t>
        </is>
      </c>
      <c r="B17" s="19">
        <f>$B$16/(1+WACC!$B$10)^(10-0.5)</f>
        <v/>
      </c>
    </row>
    <row r="18">
      <c r="A18" s="3" t="inlineStr">
        <is>
          <t>TV as % of EV</t>
        </is>
      </c>
      <c r="B18" s="12">
        <f>$B$17/($B$10+$B$17)</f>
        <v/>
      </c>
    </row>
    <row r="20">
      <c r="A20" s="13" t="inlineStr">
        <is>
          <t>Enterprise value</t>
        </is>
      </c>
      <c r="B20" s="30">
        <f>$B$10+$B$17</f>
        <v/>
      </c>
    </row>
    <row r="21">
      <c r="A21" s="3" t="inlineStr">
        <is>
          <t>(−) Net debt</t>
        </is>
      </c>
      <c r="B21" s="23">
        <f>-Assumptions!$B$10</f>
        <v/>
      </c>
    </row>
    <row r="22">
      <c r="A22" s="3" t="inlineStr">
        <is>
          <t>(−) Minority interest</t>
        </is>
      </c>
      <c r="B22" s="23">
        <f>-Assumptions!$B$9</f>
        <v/>
      </c>
    </row>
    <row r="23">
      <c r="A23" s="13" t="inlineStr">
        <is>
          <t>Equity value</t>
        </is>
      </c>
      <c r="B23" s="30">
        <f>$B$20-Assumptions!$B$10-Assumptions!$B$9</f>
        <v/>
      </c>
    </row>
    <row r="24">
      <c r="A24" s="13" t="inlineStr">
        <is>
          <t>Value per share</t>
        </is>
      </c>
      <c r="B24" s="34">
        <f>$B$23/Assumptions!$B$6</f>
        <v/>
      </c>
    </row>
    <row r="25">
      <c r="A25" s="13" t="inlineStr">
        <is>
          <t>Upside vs price</t>
        </is>
      </c>
      <c r="B25" s="35">
        <f>$B$24/Assumptions!$B$5-1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per share — WACC × terminal growth (USD/share)</t>
        </is>
      </c>
    </row>
    <row r="2">
      <c r="A2" s="2" t="inlineStr">
        <is>
          <t>Every cell is a live formula; it re-runs the full DCF at that WACC/g pair.</t>
        </is>
      </c>
    </row>
    <row r="4">
      <c r="A4" s="13" t="inlineStr">
        <is>
          <t>WACC \ g</t>
        </is>
      </c>
      <c r="B4" s="11" t="n">
        <v>0.015</v>
      </c>
      <c r="C4" s="11" t="n">
        <v>0.02</v>
      </c>
      <c r="D4" s="11" t="n">
        <v>0.025</v>
      </c>
      <c r="E4" s="11" t="n">
        <v>0.03</v>
      </c>
      <c r="F4" s="11" t="n">
        <v>0.035</v>
      </c>
    </row>
    <row r="5">
      <c r="A5" s="15" t="n">
        <v>0.09776966939536565</v>
      </c>
      <c r="B5" s="16">
        <f>(SUMPRODUCT(DCF!$B$5:$K$5,1/(1+$A$5)^DCF!$B$6:$K$6)+DCF!$B$11*(1+B$4)*(1-B$4/DCF!$B$14)/($A$5-B$4)/(1+$A$5)^(10-0.5)-Assumptions!$B$10-Assumptions!$B$9)/Assumptions!$B$6</f>
        <v/>
      </c>
      <c r="C5" s="16">
        <f>(SUMPRODUCT(DCF!$B$5:$K$5,1/(1+$A$5)^DCF!$B$6:$K$6)+DCF!$B$11*(1+C$4)*(1-C$4/DCF!$B$14)/($A$5-C$4)/(1+$A$5)^(10-0.5)-Assumptions!$B$10-Assumptions!$B$9)/Assumptions!$B$6</f>
        <v/>
      </c>
      <c r="D5" s="16">
        <f>(SUMPRODUCT(DCF!$B$5:$K$5,1/(1+$A$5)^DCF!$B$6:$K$6)+DCF!$B$11*(1+D$4)*(1-D$4/DCF!$B$14)/($A$5-D$4)/(1+$A$5)^(10-0.5)-Assumptions!$B$10-Assumptions!$B$9)/Assumptions!$B$6</f>
        <v/>
      </c>
      <c r="E5" s="16">
        <f>(SUMPRODUCT(DCF!$B$5:$K$5,1/(1+$A$5)^DCF!$B$6:$K$6)+DCF!$B$11*(1+E$4)*(1-E$4/DCF!$B$14)/($A$5-E$4)/(1+$A$5)^(10-0.5)-Assumptions!$B$10-Assumptions!$B$9)/Assumptions!$B$6</f>
        <v/>
      </c>
      <c r="F5" s="16">
        <f>(SUMPRODUCT(DCF!$B$5:$K$5,1/(1+$A$5)^DCF!$B$6:$K$6)+DCF!$B$11*(1+F$4)*(1-F$4/DCF!$B$14)/($A$5-F$4)/(1+$A$5)^(10-0.5)-Assumptions!$B$10-Assumptions!$B$9)/Assumptions!$B$6</f>
        <v/>
      </c>
    </row>
    <row r="6">
      <c r="A6" s="15" t="n">
        <v>0.1052696693953656</v>
      </c>
      <c r="B6" s="16">
        <f>(SUMPRODUCT(DCF!$B$5:$K$5,1/(1+$A$6)^DCF!$B$6:$K$6)+DCF!$B$11*(1+B$4)*(1-B$4/DCF!$B$14)/($A$6-B$4)/(1+$A$6)^(10-0.5)-Assumptions!$B$10-Assumptions!$B$9)/Assumptions!$B$6</f>
        <v/>
      </c>
      <c r="C6" s="16">
        <f>(SUMPRODUCT(DCF!$B$5:$K$5,1/(1+$A$6)^DCF!$B$6:$K$6)+DCF!$B$11*(1+C$4)*(1-C$4/DCF!$B$14)/($A$6-C$4)/(1+$A$6)^(10-0.5)-Assumptions!$B$10-Assumptions!$B$9)/Assumptions!$B$6</f>
        <v/>
      </c>
      <c r="D6" s="16">
        <f>(SUMPRODUCT(DCF!$B$5:$K$5,1/(1+$A$6)^DCF!$B$6:$K$6)+DCF!$B$11*(1+D$4)*(1-D$4/DCF!$B$14)/($A$6-D$4)/(1+$A$6)^(10-0.5)-Assumptions!$B$10-Assumptions!$B$9)/Assumptions!$B$6</f>
        <v/>
      </c>
      <c r="E6" s="16">
        <f>(SUMPRODUCT(DCF!$B$5:$K$5,1/(1+$A$6)^DCF!$B$6:$K$6)+DCF!$B$11*(1+E$4)*(1-E$4/DCF!$B$14)/($A$6-E$4)/(1+$A$6)^(10-0.5)-Assumptions!$B$10-Assumptions!$B$9)/Assumptions!$B$6</f>
        <v/>
      </c>
      <c r="F6" s="16">
        <f>(SUMPRODUCT(DCF!$B$5:$K$5,1/(1+$A$6)^DCF!$B$6:$K$6)+DCF!$B$11*(1+F$4)*(1-F$4/DCF!$B$14)/($A$6-F$4)/(1+$A$6)^(10-0.5)-Assumptions!$B$10-Assumptions!$B$9)/Assumptions!$B$6</f>
        <v/>
      </c>
    </row>
    <row r="7">
      <c r="A7" s="15" t="n">
        <v>0.1127696693953656</v>
      </c>
      <c r="B7" s="16">
        <f>(SUMPRODUCT(DCF!$B$5:$K$5,1/(1+$A$7)^DCF!$B$6:$K$6)+DCF!$B$11*(1+B$4)*(1-B$4/DCF!$B$14)/($A$7-B$4)/(1+$A$7)^(10-0.5)-Assumptions!$B$10-Assumptions!$B$9)/Assumptions!$B$6</f>
        <v/>
      </c>
      <c r="C7" s="16">
        <f>(SUMPRODUCT(DCF!$B$5:$K$5,1/(1+$A$7)^DCF!$B$6:$K$6)+DCF!$B$11*(1+C$4)*(1-C$4/DCF!$B$14)/($A$7-C$4)/(1+$A$7)^(10-0.5)-Assumptions!$B$10-Assumptions!$B$9)/Assumptions!$B$6</f>
        <v/>
      </c>
      <c r="D7" s="16">
        <f>(SUMPRODUCT(DCF!$B$5:$K$5,1/(1+$A$7)^DCF!$B$6:$K$6)+DCF!$B$11*(1+D$4)*(1-D$4/DCF!$B$14)/($A$7-D$4)/(1+$A$7)^(10-0.5)-Assumptions!$B$10-Assumptions!$B$9)/Assumptions!$B$6</f>
        <v/>
      </c>
      <c r="E7" s="16">
        <f>(SUMPRODUCT(DCF!$B$5:$K$5,1/(1+$A$7)^DCF!$B$6:$K$6)+DCF!$B$11*(1+E$4)*(1-E$4/DCF!$B$14)/($A$7-E$4)/(1+$A$7)^(10-0.5)-Assumptions!$B$10-Assumptions!$B$9)/Assumptions!$B$6</f>
        <v/>
      </c>
      <c r="F7" s="16">
        <f>(SUMPRODUCT(DCF!$B$5:$K$5,1/(1+$A$7)^DCF!$B$6:$K$6)+DCF!$B$11*(1+F$4)*(1-F$4/DCF!$B$14)/($A$7-F$4)/(1+$A$7)^(10-0.5)-Assumptions!$B$10-Assumptions!$B$9)/Assumptions!$B$6</f>
        <v/>
      </c>
    </row>
    <row r="8">
      <c r="A8" s="15" t="n">
        <v>0.1202696693953657</v>
      </c>
      <c r="B8" s="16">
        <f>(SUMPRODUCT(DCF!$B$5:$K$5,1/(1+$A$8)^DCF!$B$6:$K$6)+DCF!$B$11*(1+B$4)*(1-B$4/DCF!$B$14)/($A$8-B$4)/(1+$A$8)^(10-0.5)-Assumptions!$B$10-Assumptions!$B$9)/Assumptions!$B$6</f>
        <v/>
      </c>
      <c r="C8" s="16">
        <f>(SUMPRODUCT(DCF!$B$5:$K$5,1/(1+$A$8)^DCF!$B$6:$K$6)+DCF!$B$11*(1+C$4)*(1-C$4/DCF!$B$14)/($A$8-C$4)/(1+$A$8)^(10-0.5)-Assumptions!$B$10-Assumptions!$B$9)/Assumptions!$B$6</f>
        <v/>
      </c>
      <c r="D8" s="16">
        <f>(SUMPRODUCT(DCF!$B$5:$K$5,1/(1+$A$8)^DCF!$B$6:$K$6)+DCF!$B$11*(1+D$4)*(1-D$4/DCF!$B$14)/($A$8-D$4)/(1+$A$8)^(10-0.5)-Assumptions!$B$10-Assumptions!$B$9)/Assumptions!$B$6</f>
        <v/>
      </c>
      <c r="E8" s="16">
        <f>(SUMPRODUCT(DCF!$B$5:$K$5,1/(1+$A$8)^DCF!$B$6:$K$6)+DCF!$B$11*(1+E$4)*(1-E$4/DCF!$B$14)/($A$8-E$4)/(1+$A$8)^(10-0.5)-Assumptions!$B$10-Assumptions!$B$9)/Assumptions!$B$6</f>
        <v/>
      </c>
      <c r="F8" s="16">
        <f>(SUMPRODUCT(DCF!$B$5:$K$5,1/(1+$A$8)^DCF!$B$6:$K$6)+DCF!$B$11*(1+F$4)*(1-F$4/DCF!$B$14)/($A$8-F$4)/(1+$A$8)^(10-0.5)-Assumptions!$B$10-Assumptions!$B$9)/Assumptions!$B$6</f>
        <v/>
      </c>
    </row>
    <row r="9">
      <c r="A9" s="15" t="n">
        <v>0.1277696693953657</v>
      </c>
      <c r="B9" s="16">
        <f>(SUMPRODUCT(DCF!$B$5:$K$5,1/(1+$A$9)^DCF!$B$6:$K$6)+DCF!$B$11*(1+B$4)*(1-B$4/DCF!$B$14)/($A$9-B$4)/(1+$A$9)^(10-0.5)-Assumptions!$B$10-Assumptions!$B$9)/Assumptions!$B$6</f>
        <v/>
      </c>
      <c r="C9" s="16">
        <f>(SUMPRODUCT(DCF!$B$5:$K$5,1/(1+$A$9)^DCF!$B$6:$K$6)+DCF!$B$11*(1+C$4)*(1-C$4/DCF!$B$14)/($A$9-C$4)/(1+$A$9)^(10-0.5)-Assumptions!$B$10-Assumptions!$B$9)/Assumptions!$B$6</f>
        <v/>
      </c>
      <c r="D9" s="16">
        <f>(SUMPRODUCT(DCF!$B$5:$K$5,1/(1+$A$9)^DCF!$B$6:$K$6)+DCF!$B$11*(1+D$4)*(1-D$4/DCF!$B$14)/($A$9-D$4)/(1+$A$9)^(10-0.5)-Assumptions!$B$10-Assumptions!$B$9)/Assumptions!$B$6</f>
        <v/>
      </c>
      <c r="E9" s="16">
        <f>(SUMPRODUCT(DCF!$B$5:$K$5,1/(1+$A$9)^DCF!$B$6:$K$6)+DCF!$B$11*(1+E$4)*(1-E$4/DCF!$B$14)/($A$9-E$4)/(1+$A$9)^(10-0.5)-Assumptions!$B$10-Assumptions!$B$9)/Assumptions!$B$6</f>
        <v/>
      </c>
      <c r="F9" s="16">
        <f>(SUMPRODUCT(DCF!$B$5:$K$5,1/(1+$A$9)^DCF!$B$6:$K$6)+DCF!$B$11*(1+F$4)*(1-F$4/DCF!$B$14)/($A$9-F$4)/(1+$A$9)^(10-0.5)-Assumptions!$B$10-Assumptions!$B$9)/Assumptions!$B$6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MU — IS (reported)</t>
        </is>
      </c>
    </row>
    <row r="2">
      <c r="A2" s="2" t="inlineStr">
        <is>
          <t>As reported by Yahoo snapshot as of 2026-07-09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Tax Effect Of Unusual Items</t>
        </is>
      </c>
      <c r="C5" s="25" t="n">
        <v>-5.952</v>
      </c>
      <c r="D5" s="25" t="n">
        <v>-69.3</v>
      </c>
      <c r="E5" s="25" t="n">
        <v>-5.46</v>
      </c>
      <c r="F5" s="25" t="n">
        <v>-19.72</v>
      </c>
    </row>
    <row r="6">
      <c r="A6" s="3" t="inlineStr">
        <is>
          <t>Tax Rate For Calcs</t>
        </is>
      </c>
      <c r="C6" s="25" t="n">
        <v>9.299999999999999e-14</v>
      </c>
      <c r="D6" s="25" t="n">
        <v>2.1e-13</v>
      </c>
      <c r="E6" s="25" t="n">
        <v>3.64e-13</v>
      </c>
      <c r="F6" s="25" t="n">
        <v>1.16e-13</v>
      </c>
    </row>
    <row r="7">
      <c r="A7" s="3" t="inlineStr">
        <is>
          <t>Normalized EBITDA</t>
        </is>
      </c>
      <c r="C7" s="25" t="n">
        <v>16940</v>
      </c>
      <c r="D7" s="25" t="n">
        <v>2816</v>
      </c>
      <c r="E7" s="25" t="n">
        <v>9597</v>
      </c>
      <c r="F7" s="25" t="n">
        <v>18653</v>
      </c>
    </row>
    <row r="8">
      <c r="A8" s="3" t="inlineStr">
        <is>
          <t>Total Unusual Items</t>
        </is>
      </c>
      <c r="C8" s="25" t="n">
        <v>-64</v>
      </c>
      <c r="D8" s="25" t="n">
        <v>-330</v>
      </c>
      <c r="E8" s="25" t="n">
        <v>-15</v>
      </c>
      <c r="F8" s="25" t="n">
        <v>-170</v>
      </c>
    </row>
    <row r="9">
      <c r="A9" s="3" t="inlineStr">
        <is>
          <t>Total Unusual Items Excluding Goodwill</t>
        </is>
      </c>
      <c r="C9" s="25" t="n">
        <v>-64</v>
      </c>
      <c r="D9" s="25" t="n">
        <v>-330</v>
      </c>
      <c r="E9" s="25" t="n">
        <v>-15</v>
      </c>
      <c r="F9" s="25" t="n">
        <v>-170</v>
      </c>
    </row>
    <row r="10">
      <c r="A10" s="3" t="inlineStr">
        <is>
          <t>Net Income From Continuing Operation Net Minority Interest</t>
        </is>
      </c>
      <c r="C10" s="25" t="n">
        <v>8687</v>
      </c>
      <c r="D10" s="25" t="n">
        <v>-5833</v>
      </c>
      <c r="E10" s="25" t="n">
        <v>778</v>
      </c>
      <c r="F10" s="25" t="n">
        <v>8539</v>
      </c>
    </row>
    <row r="11">
      <c r="A11" s="3" t="inlineStr">
        <is>
          <t>Reconciled Depreciation</t>
        </is>
      </c>
      <c r="C11" s="25" t="n">
        <v>7116</v>
      </c>
      <c r="D11" s="25" t="n">
        <v>7756</v>
      </c>
      <c r="E11" s="25" t="n">
        <v>7780</v>
      </c>
      <c r="F11" s="25" t="n">
        <v>8352</v>
      </c>
    </row>
    <row r="12">
      <c r="A12" s="3" t="inlineStr">
        <is>
          <t>Reconciled Cost Of Revenue</t>
        </is>
      </c>
      <c r="C12" s="25" t="n">
        <v>16860</v>
      </c>
      <c r="D12" s="25" t="n">
        <v>16956</v>
      </c>
      <c r="E12" s="25" t="n">
        <v>19498</v>
      </c>
      <c r="F12" s="25" t="n">
        <v>22505</v>
      </c>
    </row>
    <row r="13">
      <c r="A13" s="3" t="inlineStr">
        <is>
          <t>EBITDA</t>
        </is>
      </c>
      <c r="C13" s="25" t="n">
        <v>16876</v>
      </c>
      <c r="D13" s="25" t="n">
        <v>2486</v>
      </c>
      <c r="E13" s="25" t="n">
        <v>9582</v>
      </c>
      <c r="F13" s="25" t="n">
        <v>18483</v>
      </c>
    </row>
    <row r="14">
      <c r="A14" s="3" t="inlineStr">
        <is>
          <t>EBIT</t>
        </is>
      </c>
      <c r="C14" s="25" t="n">
        <v>9760</v>
      </c>
      <c r="D14" s="25" t="n">
        <v>-5270</v>
      </c>
      <c r="E14" s="25" t="n">
        <v>1802</v>
      </c>
      <c r="F14" s="25" t="n">
        <v>10131</v>
      </c>
    </row>
    <row r="15">
      <c r="A15" s="3" t="inlineStr">
        <is>
          <t>Net Interest Income</t>
        </is>
      </c>
      <c r="C15" s="25" t="n">
        <v>-93</v>
      </c>
      <c r="D15" s="25" t="n">
        <v>80</v>
      </c>
      <c r="E15" s="25" t="n">
        <v>-33</v>
      </c>
      <c r="F15" s="25" t="n">
        <v>19</v>
      </c>
    </row>
    <row r="16">
      <c r="A16" s="3" t="inlineStr">
        <is>
          <t>Interest Expense</t>
        </is>
      </c>
      <c r="C16" s="25" t="n">
        <v>189</v>
      </c>
      <c r="D16" s="25" t="n">
        <v>388</v>
      </c>
      <c r="E16" s="25" t="n">
        <v>562</v>
      </c>
      <c r="F16" s="25" t="n">
        <v>477</v>
      </c>
    </row>
    <row r="17">
      <c r="A17" s="3" t="inlineStr">
        <is>
          <t>Interest Income</t>
        </is>
      </c>
      <c r="C17" s="25" t="n">
        <v>96</v>
      </c>
      <c r="D17" s="25" t="n">
        <v>468</v>
      </c>
      <c r="E17" s="25" t="n">
        <v>529</v>
      </c>
      <c r="F17" s="25" t="n">
        <v>496</v>
      </c>
    </row>
    <row r="18">
      <c r="A18" s="3" t="inlineStr">
        <is>
          <t>Normalized Income</t>
        </is>
      </c>
      <c r="C18" s="25" t="n">
        <v>8745.048000000001</v>
      </c>
      <c r="D18" s="25" t="n">
        <v>-5572.3</v>
      </c>
      <c r="E18" s="25" t="n">
        <v>787.54</v>
      </c>
      <c r="F18" s="25" t="n">
        <v>8689.280000000001</v>
      </c>
    </row>
    <row r="19">
      <c r="A19" s="3" t="inlineStr">
        <is>
          <t>Net Income From Continuing And Discontinued Operation</t>
        </is>
      </c>
      <c r="C19" s="25" t="n">
        <v>8687</v>
      </c>
      <c r="D19" s="25" t="n">
        <v>-5833</v>
      </c>
      <c r="E19" s="25" t="n">
        <v>778</v>
      </c>
      <c r="F19" s="25" t="n">
        <v>8539</v>
      </c>
    </row>
    <row r="20">
      <c r="A20" s="3" t="inlineStr">
        <is>
          <t>Total Expenses</t>
        </is>
      </c>
      <c r="C20" s="25" t="n">
        <v>21049</v>
      </c>
      <c r="D20" s="25" t="n">
        <v>20945</v>
      </c>
      <c r="E20" s="25" t="n">
        <v>23806</v>
      </c>
      <c r="F20" s="25" t="n">
        <v>27569</v>
      </c>
    </row>
    <row r="21">
      <c r="A21" s="3" t="inlineStr">
        <is>
          <t>Total Operating Income As Reported</t>
        </is>
      </c>
      <c r="C21" s="25" t="n">
        <v>9702</v>
      </c>
      <c r="D21" s="25" t="n">
        <v>-5745</v>
      </c>
      <c r="E21" s="25" t="n">
        <v>1304</v>
      </c>
      <c r="F21" s="25" t="n">
        <v>9770</v>
      </c>
    </row>
    <row r="22">
      <c r="A22" s="3" t="inlineStr">
        <is>
          <t>Diluted Average Shares</t>
        </is>
      </c>
      <c r="C22" s="25" t="n">
        <v>1122</v>
      </c>
      <c r="D22" s="25" t="n">
        <v>1093</v>
      </c>
      <c r="E22" s="25" t="n">
        <v>1118</v>
      </c>
      <c r="F22" s="25" t="n">
        <v>1125</v>
      </c>
    </row>
    <row r="23">
      <c r="A23" s="3" t="inlineStr">
        <is>
          <t>Basic Average Shares</t>
        </is>
      </c>
      <c r="C23" s="25" t="n">
        <v>1112</v>
      </c>
      <c r="D23" s="25" t="n">
        <v>1093</v>
      </c>
      <c r="E23" s="25" t="n">
        <v>1105</v>
      </c>
      <c r="F23" s="25" t="n">
        <v>1116</v>
      </c>
    </row>
    <row r="24">
      <c r="A24" s="3" t="inlineStr">
        <is>
          <t>Diluted EPS</t>
        </is>
      </c>
      <c r="C24" s="25" t="n">
        <v>7.750000000000001e-12</v>
      </c>
      <c r="D24" s="25" t="n">
        <v>-5.339999999999999e-12</v>
      </c>
      <c r="E24" s="25" t="n">
        <v>6.999999999999999e-13</v>
      </c>
      <c r="F24" s="25" t="n">
        <v>7.59e-12</v>
      </c>
    </row>
    <row r="25">
      <c r="A25" s="3" t="inlineStr">
        <is>
          <t>Basic EPS</t>
        </is>
      </c>
      <c r="C25" s="25" t="n">
        <v>7.81e-12</v>
      </c>
      <c r="D25" s="25" t="n">
        <v>-5.339999999999999e-12</v>
      </c>
      <c r="E25" s="25" t="n">
        <v>6.999999999999999e-13</v>
      </c>
      <c r="F25" s="25" t="n">
        <v>7.649999999999999e-12</v>
      </c>
    </row>
    <row r="26">
      <c r="A26" s="3" t="inlineStr">
        <is>
          <t>Diluted NI Availto Com Stockholders</t>
        </is>
      </c>
      <c r="C26" s="25" t="n">
        <v>8687</v>
      </c>
      <c r="D26" s="25" t="n">
        <v>-5833</v>
      </c>
      <c r="E26" s="25" t="n">
        <v>778</v>
      </c>
      <c r="F26" s="25" t="n">
        <v>8539</v>
      </c>
    </row>
    <row r="27">
      <c r="A27" s="3" t="inlineStr">
        <is>
          <t>Average Dilution Earnings</t>
        </is>
      </c>
      <c r="B27" s="25" t="n">
        <v>0</v>
      </c>
      <c r="C27" s="25" t="n">
        <v>0</v>
      </c>
    </row>
    <row r="28">
      <c r="A28" s="3" t="inlineStr">
        <is>
          <t>Net Income Common Stockholders</t>
        </is>
      </c>
      <c r="C28" s="25" t="n">
        <v>8687</v>
      </c>
      <c r="D28" s="25" t="n">
        <v>-5833</v>
      </c>
      <c r="E28" s="25" t="n">
        <v>778</v>
      </c>
      <c r="F28" s="25" t="n">
        <v>8539</v>
      </c>
    </row>
    <row r="29">
      <c r="A29" s="3" t="inlineStr">
        <is>
          <t>Net Income</t>
        </is>
      </c>
      <c r="C29" s="25" t="n">
        <v>8687</v>
      </c>
      <c r="D29" s="25" t="n">
        <v>-5833</v>
      </c>
      <c r="E29" s="25" t="n">
        <v>778</v>
      </c>
      <c r="F29" s="25" t="n">
        <v>8539</v>
      </c>
    </row>
    <row r="30">
      <c r="A30" s="3" t="inlineStr">
        <is>
          <t>Minority Interests</t>
        </is>
      </c>
      <c r="B30" s="25" t="n">
        <v>0</v>
      </c>
      <c r="C30" s="25" t="n">
        <v>0</v>
      </c>
    </row>
    <row r="31">
      <c r="A31" s="3" t="inlineStr">
        <is>
          <t>Net Income Including Noncontrolling Interests</t>
        </is>
      </c>
      <c r="C31" s="25" t="n">
        <v>8687</v>
      </c>
      <c r="D31" s="25" t="n">
        <v>-5833</v>
      </c>
      <c r="E31" s="25" t="n">
        <v>778</v>
      </c>
      <c r="F31" s="25" t="n">
        <v>8539</v>
      </c>
    </row>
    <row r="32">
      <c r="A32" s="3" t="inlineStr">
        <is>
          <t>Net Income Continuous Operations</t>
        </is>
      </c>
      <c r="C32" s="25" t="n">
        <v>8687</v>
      </c>
      <c r="D32" s="25" t="n">
        <v>-5833</v>
      </c>
      <c r="E32" s="25" t="n">
        <v>778</v>
      </c>
      <c r="F32" s="25" t="n">
        <v>8539</v>
      </c>
    </row>
    <row r="33">
      <c r="A33" s="3" t="inlineStr">
        <is>
          <t>Earnings From Equity Interest Net Of Tax</t>
        </is>
      </c>
      <c r="C33" s="25" t="n">
        <v>4</v>
      </c>
      <c r="D33" s="25" t="n">
        <v>2</v>
      </c>
      <c r="E33" s="25" t="n">
        <v>-11</v>
      </c>
      <c r="F33" s="25" t="n">
        <v>9</v>
      </c>
    </row>
    <row r="34">
      <c r="A34" s="3" t="inlineStr">
        <is>
          <t>Tax Provision</t>
        </is>
      </c>
      <c r="C34" s="25" t="n">
        <v>888</v>
      </c>
      <c r="D34" s="25" t="n">
        <v>177</v>
      </c>
      <c r="E34" s="25" t="n">
        <v>451</v>
      </c>
      <c r="F34" s="25" t="n">
        <v>1124</v>
      </c>
    </row>
    <row r="35">
      <c r="A35" s="3" t="inlineStr">
        <is>
          <t>Pretax Income</t>
        </is>
      </c>
      <c r="C35" s="25" t="n">
        <v>9571</v>
      </c>
      <c r="D35" s="25" t="n">
        <v>-5658</v>
      </c>
      <c r="E35" s="25" t="n">
        <v>1240</v>
      </c>
      <c r="F35" s="25" t="n">
        <v>9654</v>
      </c>
    </row>
    <row r="36">
      <c r="A36" s="3" t="inlineStr">
        <is>
          <t>Other Income Expense</t>
        </is>
      </c>
      <c r="C36" s="25" t="n">
        <v>-45</v>
      </c>
      <c r="D36" s="25" t="n">
        <v>-333</v>
      </c>
      <c r="E36" s="25" t="n">
        <v>-32</v>
      </c>
      <c r="F36" s="25" t="n">
        <v>-174</v>
      </c>
    </row>
    <row r="37">
      <c r="A37" s="3" t="inlineStr">
        <is>
          <t>Other Non Operating Income Expenses</t>
        </is>
      </c>
      <c r="C37" s="25" t="n">
        <v>19</v>
      </c>
      <c r="D37" s="25" t="n">
        <v>-3</v>
      </c>
      <c r="E37" s="25" t="n">
        <v>-17</v>
      </c>
      <c r="F37" s="25" t="n">
        <v>-4</v>
      </c>
    </row>
    <row r="38">
      <c r="A38" s="3" t="inlineStr">
        <is>
          <t>Special Income Charges</t>
        </is>
      </c>
      <c r="C38" s="25" t="n">
        <v>-90</v>
      </c>
      <c r="D38" s="25" t="n">
        <v>-340</v>
      </c>
      <c r="E38" s="25" t="n">
        <v>-2</v>
      </c>
      <c r="F38" s="25" t="n">
        <v>-98</v>
      </c>
    </row>
    <row r="39">
      <c r="A39" s="3" t="inlineStr">
        <is>
          <t>Gain On Sale Of Ppe</t>
        </is>
      </c>
      <c r="B39" s="25" t="n">
        <v>24</v>
      </c>
      <c r="C39" s="25" t="n">
        <v>41</v>
      </c>
      <c r="D39" s="25" t="n">
        <v>54</v>
      </c>
      <c r="E39" s="25" t="n">
        <v>59</v>
      </c>
    </row>
    <row r="40">
      <c r="A40" s="3" t="inlineStr">
        <is>
          <t>Other Special Charges</t>
        </is>
      </c>
      <c r="B40" s="25" t="n">
        <v>1</v>
      </c>
      <c r="C40" s="25" t="n">
        <v>83</v>
      </c>
      <c r="D40" s="25" t="n">
        <v>68</v>
      </c>
      <c r="F40" s="25" t="n">
        <v>59</v>
      </c>
    </row>
    <row r="41">
      <c r="A41" s="3" t="inlineStr">
        <is>
          <t>Write Off</t>
        </is>
      </c>
      <c r="C41" s="25" t="n">
        <v>63</v>
      </c>
      <c r="D41" s="25" t="n">
        <v>14</v>
      </c>
      <c r="E41" s="25" t="n">
        <v>0</v>
      </c>
      <c r="F41" s="25" t="n">
        <v>9</v>
      </c>
    </row>
    <row r="42">
      <c r="A42" s="3" t="inlineStr">
        <is>
          <t>Impairment Of Capital Assets</t>
        </is>
      </c>
      <c r="C42" s="25" t="n">
        <v>0</v>
      </c>
      <c r="D42" s="25" t="n">
        <v>101</v>
      </c>
      <c r="E42" s="25" t="n">
        <v>0</v>
      </c>
      <c r="F42" s="25" t="n">
        <v>0</v>
      </c>
    </row>
    <row r="43">
      <c r="A43" s="3" t="inlineStr">
        <is>
          <t>Restructuring And Mergern Acquisition</t>
        </is>
      </c>
      <c r="C43" s="25" t="n">
        <v>-15</v>
      </c>
      <c r="D43" s="25" t="n">
        <v>157</v>
      </c>
      <c r="E43" s="25" t="n">
        <v>1</v>
      </c>
      <c r="F43" s="25" t="n">
        <v>30</v>
      </c>
    </row>
    <row r="44">
      <c r="A44" s="3" t="inlineStr">
        <is>
          <t>Gain On Sale Of Security</t>
        </is>
      </c>
      <c r="B44" s="25" t="n">
        <v>82</v>
      </c>
      <c r="C44" s="25" t="n">
        <v>26</v>
      </c>
      <c r="D44" s="25" t="n">
        <v>10</v>
      </c>
      <c r="F44" s="25" t="n">
        <v>-72</v>
      </c>
    </row>
    <row r="45">
      <c r="A45" s="3" t="inlineStr">
        <is>
          <t>Net Non Operating Interest Income Expense</t>
        </is>
      </c>
      <c r="C45" s="25" t="n">
        <v>-93</v>
      </c>
      <c r="D45" s="25" t="n">
        <v>80</v>
      </c>
      <c r="E45" s="25" t="n">
        <v>-33</v>
      </c>
      <c r="F45" s="25" t="n">
        <v>19</v>
      </c>
    </row>
    <row r="46">
      <c r="A46" s="3" t="inlineStr">
        <is>
          <t>Interest Expense Non Operating</t>
        </is>
      </c>
      <c r="C46" s="25" t="n">
        <v>189</v>
      </c>
      <c r="D46" s="25" t="n">
        <v>388</v>
      </c>
      <c r="E46" s="25" t="n">
        <v>562</v>
      </c>
      <c r="F46" s="25" t="n">
        <v>477</v>
      </c>
    </row>
    <row r="47">
      <c r="A47" s="3" t="inlineStr">
        <is>
          <t>Interest Income Non Operating</t>
        </is>
      </c>
      <c r="C47" s="25" t="n">
        <v>96</v>
      </c>
      <c r="D47" s="25" t="n">
        <v>468</v>
      </c>
      <c r="E47" s="25" t="n">
        <v>529</v>
      </c>
      <c r="F47" s="25" t="n">
        <v>496</v>
      </c>
    </row>
    <row r="48">
      <c r="A48" s="3" t="inlineStr">
        <is>
          <t>Operating Income</t>
        </is>
      </c>
      <c r="C48" s="25" t="n">
        <v>9709</v>
      </c>
      <c r="D48" s="25" t="n">
        <v>-5405</v>
      </c>
      <c r="E48" s="25" t="n">
        <v>1305</v>
      </c>
      <c r="F48" s="25" t="n">
        <v>9809</v>
      </c>
    </row>
    <row r="49">
      <c r="A49" s="3" t="inlineStr">
        <is>
          <t>Operating Expense</t>
        </is>
      </c>
      <c r="C49" s="25" t="n">
        <v>4189</v>
      </c>
      <c r="D49" s="25" t="n">
        <v>3989</v>
      </c>
      <c r="E49" s="25" t="n">
        <v>4308</v>
      </c>
      <c r="F49" s="25" t="n">
        <v>5064</v>
      </c>
    </row>
    <row r="50">
      <c r="A50" s="3" t="inlineStr">
        <is>
          <t>Other Operating Expenses</t>
        </is>
      </c>
      <c r="C50" s="25" t="n">
        <v>7</v>
      </c>
      <c r="D50" s="25" t="n">
        <v>-45</v>
      </c>
      <c r="E50" s="25" t="n">
        <v>-251</v>
      </c>
      <c r="F50" s="25" t="n">
        <v>61</v>
      </c>
    </row>
    <row r="51">
      <c r="A51" s="3" t="inlineStr">
        <is>
          <t>Research And Development</t>
        </is>
      </c>
      <c r="C51" s="25" t="n">
        <v>3116</v>
      </c>
      <c r="D51" s="25" t="n">
        <v>3114</v>
      </c>
      <c r="E51" s="25" t="n">
        <v>3430</v>
      </c>
      <c r="F51" s="25" t="n">
        <v>3798</v>
      </c>
    </row>
    <row r="52">
      <c r="A52" s="3" t="inlineStr">
        <is>
          <t>Selling General And Administration</t>
        </is>
      </c>
      <c r="C52" s="25" t="n">
        <v>1066</v>
      </c>
      <c r="D52" s="25" t="n">
        <v>920</v>
      </c>
      <c r="E52" s="25" t="n">
        <v>1129</v>
      </c>
      <c r="F52" s="25" t="n">
        <v>1205</v>
      </c>
    </row>
    <row r="53">
      <c r="A53" s="3" t="inlineStr">
        <is>
          <t>Gross Profit</t>
        </is>
      </c>
      <c r="C53" s="25" t="n">
        <v>13898</v>
      </c>
      <c r="D53" s="25" t="n">
        <v>-1416</v>
      </c>
      <c r="E53" s="25" t="n">
        <v>5613</v>
      </c>
      <c r="F53" s="25" t="n">
        <v>14873</v>
      </c>
    </row>
    <row r="54">
      <c r="A54" s="3" t="inlineStr">
        <is>
          <t>Cost Of Revenue</t>
        </is>
      </c>
      <c r="C54" s="25" t="n">
        <v>16860</v>
      </c>
      <c r="D54" s="25" t="n">
        <v>16956</v>
      </c>
      <c r="E54" s="25" t="n">
        <v>19498</v>
      </c>
      <c r="F54" s="25" t="n">
        <v>22505</v>
      </c>
    </row>
    <row r="55">
      <c r="A55" s="3" t="inlineStr">
        <is>
          <t>Total Revenue</t>
        </is>
      </c>
      <c r="C55" s="25" t="n">
        <v>30758</v>
      </c>
      <c r="D55" s="25" t="n">
        <v>15540</v>
      </c>
      <c r="E55" s="25" t="n">
        <v>25111</v>
      </c>
      <c r="F55" s="25" t="n">
        <v>37378</v>
      </c>
    </row>
    <row r="56">
      <c r="A56" s="3" t="inlineStr">
        <is>
          <t>Operating Revenue</t>
        </is>
      </c>
      <c r="C56" s="25" t="n">
        <v>30758</v>
      </c>
      <c r="D56" s="25" t="n">
        <v>15540</v>
      </c>
      <c r="E56" s="25" t="n">
        <v>25111</v>
      </c>
      <c r="F56" s="25" t="n">
        <v>37378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MU — BS (reported)</t>
        </is>
      </c>
    </row>
    <row r="2">
      <c r="A2" s="2" t="inlineStr">
        <is>
          <t>As reported by Yahoo snapshot as of 2026-07-09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Treasury Shares Number</t>
        </is>
      </c>
      <c r="C5" s="25" t="n">
        <v>132</v>
      </c>
      <c r="D5" s="25" t="n">
        <v>141</v>
      </c>
      <c r="E5" s="25" t="n">
        <v>144</v>
      </c>
      <c r="F5" s="25" t="n">
        <v>144</v>
      </c>
    </row>
    <row r="6">
      <c r="A6" s="3" t="inlineStr">
        <is>
          <t>Ordinary Shares Number</t>
        </is>
      </c>
      <c r="C6" s="25" t="n">
        <v>1094</v>
      </c>
      <c r="D6" s="25" t="n">
        <v>1098</v>
      </c>
      <c r="E6" s="25" t="n">
        <v>1108.841326</v>
      </c>
      <c r="F6" s="25" t="n">
        <v>1122</v>
      </c>
    </row>
    <row r="7">
      <c r="A7" s="3" t="inlineStr">
        <is>
          <t>Share Issued</t>
        </is>
      </c>
      <c r="C7" s="25" t="n">
        <v>1226</v>
      </c>
      <c r="D7" s="25" t="n">
        <v>1239</v>
      </c>
      <c r="E7" s="25" t="n">
        <v>1252.841326</v>
      </c>
      <c r="F7" s="25" t="n">
        <v>1266</v>
      </c>
    </row>
    <row r="8">
      <c r="A8" s="3" t="inlineStr">
        <is>
          <t>Net Debt</t>
        </is>
      </c>
      <c r="D8" s="25" t="n">
        <v>3472</v>
      </c>
      <c r="E8" s="25" t="n">
        <v>4302</v>
      </c>
      <c r="F8" s="25" t="n">
        <v>1891</v>
      </c>
    </row>
    <row r="9">
      <c r="A9" s="3" t="inlineStr">
        <is>
          <t>Total Debt</t>
        </is>
      </c>
      <c r="C9" s="25" t="n">
        <v>7516</v>
      </c>
      <c r="D9" s="25" t="n">
        <v>13933</v>
      </c>
      <c r="E9" s="25" t="n">
        <v>14007</v>
      </c>
      <c r="F9" s="25" t="n">
        <v>15278</v>
      </c>
    </row>
    <row r="10">
      <c r="A10" s="3" t="inlineStr">
        <is>
          <t>Tangible Book Value</t>
        </is>
      </c>
      <c r="C10" s="25" t="n">
        <v>48258</v>
      </c>
      <c r="D10" s="25" t="n">
        <v>42566</v>
      </c>
      <c r="E10" s="25" t="n">
        <v>43565</v>
      </c>
      <c r="F10" s="25" t="n">
        <v>52562</v>
      </c>
    </row>
    <row r="11">
      <c r="A11" s="3" t="inlineStr">
        <is>
          <t>Invested Capital</t>
        </is>
      </c>
      <c r="C11" s="25" t="n">
        <v>55927</v>
      </c>
      <c r="D11" s="25" t="n">
        <v>56169</v>
      </c>
      <c r="E11" s="25" t="n">
        <v>56474</v>
      </c>
      <c r="F11" s="25" t="n">
        <v>65698</v>
      </c>
    </row>
    <row r="12">
      <c r="A12" s="3" t="inlineStr">
        <is>
          <t>Working Capital</t>
        </is>
      </c>
      <c r="C12" s="25" t="n">
        <v>14242</v>
      </c>
      <c r="D12" s="25" t="n">
        <v>16479</v>
      </c>
      <c r="E12" s="25" t="n">
        <v>15124</v>
      </c>
      <c r="F12" s="25" t="n">
        <v>17387</v>
      </c>
    </row>
    <row r="13">
      <c r="A13" s="3" t="inlineStr">
        <is>
          <t>Net Tangible Assets</t>
        </is>
      </c>
      <c r="C13" s="25" t="n">
        <v>48258</v>
      </c>
      <c r="D13" s="25" t="n">
        <v>42566</v>
      </c>
      <c r="E13" s="25" t="n">
        <v>43565</v>
      </c>
      <c r="F13" s="25" t="n">
        <v>52562</v>
      </c>
    </row>
    <row r="14">
      <c r="A14" s="3" t="inlineStr">
        <is>
          <t>Capital Lease Obligations</t>
        </is>
      </c>
      <c r="C14" s="25" t="n">
        <v>1496</v>
      </c>
      <c r="D14" s="25" t="n">
        <v>1884</v>
      </c>
      <c r="E14" s="25" t="n">
        <v>2664</v>
      </c>
      <c r="F14" s="25" t="n">
        <v>3745</v>
      </c>
    </row>
    <row r="15">
      <c r="A15" s="3" t="inlineStr">
        <is>
          <t>Common Stock Equity</t>
        </is>
      </c>
      <c r="C15" s="25" t="n">
        <v>49907</v>
      </c>
      <c r="D15" s="25" t="n">
        <v>44120</v>
      </c>
      <c r="E15" s="25" t="n">
        <v>45131</v>
      </c>
      <c r="F15" s="25" t="n">
        <v>54165</v>
      </c>
    </row>
    <row r="16">
      <c r="A16" s="3" t="inlineStr">
        <is>
          <t>Total Capitalization</t>
        </is>
      </c>
      <c r="C16" s="25" t="n">
        <v>55927</v>
      </c>
      <c r="D16" s="25" t="n">
        <v>56063</v>
      </c>
      <c r="E16" s="25" t="n">
        <v>56368</v>
      </c>
      <c r="F16" s="25" t="n">
        <v>65698</v>
      </c>
    </row>
    <row r="17">
      <c r="A17" s="3" t="inlineStr">
        <is>
          <t>Total Equity Gross Minority Interest</t>
        </is>
      </c>
      <c r="C17" s="25" t="n">
        <v>49907</v>
      </c>
      <c r="D17" s="25" t="n">
        <v>44120</v>
      </c>
      <c r="E17" s="25" t="n">
        <v>45131</v>
      </c>
      <c r="F17" s="25" t="n">
        <v>54165</v>
      </c>
    </row>
    <row r="18">
      <c r="A18" s="3" t="inlineStr">
        <is>
          <t>Stockholders Equity</t>
        </is>
      </c>
      <c r="C18" s="25" t="n">
        <v>49907</v>
      </c>
      <c r="D18" s="25" t="n">
        <v>44120</v>
      </c>
      <c r="E18" s="25" t="n">
        <v>45131</v>
      </c>
      <c r="F18" s="25" t="n">
        <v>54165</v>
      </c>
    </row>
    <row r="19">
      <c r="A19" s="3" t="inlineStr">
        <is>
          <t>Gains Losses Not Affecting Retained Earnings</t>
        </is>
      </c>
      <c r="C19" s="25" t="n">
        <v>-560</v>
      </c>
      <c r="D19" s="25" t="n">
        <v>-312</v>
      </c>
      <c r="E19" s="25" t="n">
        <v>-134</v>
      </c>
      <c r="F19" s="25" t="n">
        <v>-32</v>
      </c>
    </row>
    <row r="20">
      <c r="A20" s="3" t="inlineStr">
        <is>
          <t>Other Equity Adjustments</t>
        </is>
      </c>
      <c r="C20" s="25" t="n">
        <v>-560</v>
      </c>
      <c r="D20" s="25" t="n">
        <v>-312</v>
      </c>
      <c r="E20" s="25" t="n">
        <v>-134</v>
      </c>
      <c r="F20" s="25" t="n">
        <v>-32</v>
      </c>
    </row>
    <row r="21">
      <c r="A21" s="3" t="inlineStr">
        <is>
          <t>Treasury Stock</t>
        </is>
      </c>
      <c r="C21" s="25" t="n">
        <v>7127</v>
      </c>
      <c r="D21" s="25" t="n">
        <v>7552</v>
      </c>
      <c r="E21" s="25" t="n">
        <v>7852</v>
      </c>
      <c r="F21" s="25" t="n">
        <v>7852</v>
      </c>
    </row>
    <row r="22">
      <c r="A22" s="3" t="inlineStr">
        <is>
          <t>Retained Earnings</t>
        </is>
      </c>
      <c r="C22" s="25" t="n">
        <v>47274</v>
      </c>
      <c r="D22" s="25" t="n">
        <v>40824</v>
      </c>
      <c r="E22" s="25" t="n">
        <v>40877</v>
      </c>
      <c r="F22" s="25" t="n">
        <v>48583</v>
      </c>
    </row>
    <row r="23">
      <c r="A23" s="3" t="inlineStr">
        <is>
          <t>Additional Paid In Capital</t>
        </is>
      </c>
      <c r="C23" s="25" t="n">
        <v>10197</v>
      </c>
      <c r="D23" s="25" t="n">
        <v>11036</v>
      </c>
      <c r="E23" s="25" t="n">
        <v>12115</v>
      </c>
      <c r="F23" s="25" t="n">
        <v>13339</v>
      </c>
    </row>
    <row r="24">
      <c r="A24" s="3" t="inlineStr">
        <is>
          <t>Capital Stock</t>
        </is>
      </c>
      <c r="C24" s="25" t="n">
        <v>123</v>
      </c>
      <c r="D24" s="25" t="n">
        <v>124</v>
      </c>
      <c r="E24" s="25" t="n">
        <v>125</v>
      </c>
      <c r="F24" s="25" t="n">
        <v>127</v>
      </c>
    </row>
    <row r="25">
      <c r="A25" s="3" t="inlineStr">
        <is>
          <t>Common Stock</t>
        </is>
      </c>
      <c r="C25" s="25" t="n">
        <v>123</v>
      </c>
      <c r="D25" s="25" t="n">
        <v>124</v>
      </c>
      <c r="E25" s="25" t="n">
        <v>125</v>
      </c>
      <c r="F25" s="25" t="n">
        <v>127</v>
      </c>
    </row>
    <row r="26">
      <c r="A26" s="3" t="inlineStr">
        <is>
          <t>Total Liabilities Net Minority Interest</t>
        </is>
      </c>
      <c r="C26" s="25" t="n">
        <v>16376</v>
      </c>
      <c r="D26" s="25" t="n">
        <v>20134</v>
      </c>
      <c r="E26" s="25" t="n">
        <v>24285</v>
      </c>
      <c r="F26" s="25" t="n">
        <v>28633</v>
      </c>
    </row>
    <row r="27">
      <c r="A27" s="3" t="inlineStr">
        <is>
          <t>Total Non Current Liabilities Net Minority Interest</t>
        </is>
      </c>
      <c r="C27" s="25" t="n">
        <v>8837</v>
      </c>
      <c r="D27" s="25" t="n">
        <v>15369</v>
      </c>
      <c r="E27" s="25" t="n">
        <v>15037</v>
      </c>
      <c r="F27" s="25" t="n">
        <v>17179</v>
      </c>
    </row>
    <row r="28">
      <c r="A28" s="3" t="inlineStr">
        <is>
          <t>Other Non Current Liabilities</t>
        </is>
      </c>
      <c r="C28" s="25" t="n">
        <v>835</v>
      </c>
      <c r="D28" s="25" t="n">
        <v>987</v>
      </c>
      <c r="E28" s="25" t="n">
        <v>911</v>
      </c>
      <c r="F28" s="25" t="n">
        <v>1443</v>
      </c>
    </row>
    <row r="29">
      <c r="A29" s="3" t="inlineStr">
        <is>
          <t>Non Current Deferred Liabilities</t>
        </is>
      </c>
      <c r="C29" s="25" t="n">
        <v>589</v>
      </c>
      <c r="D29" s="25" t="n">
        <v>727</v>
      </c>
      <c r="E29" s="25" t="n">
        <v>550</v>
      </c>
      <c r="F29" s="25" t="n">
        <v>1018</v>
      </c>
    </row>
    <row r="30">
      <c r="A30" s="3" t="inlineStr">
        <is>
          <t>Non Current Deferred Revenue</t>
        </is>
      </c>
      <c r="C30" s="25" t="n">
        <v>589</v>
      </c>
      <c r="D30" s="25" t="n">
        <v>727</v>
      </c>
      <c r="E30" s="25" t="n">
        <v>550</v>
      </c>
      <c r="F30" s="25" t="n">
        <v>1018</v>
      </c>
    </row>
    <row r="31">
      <c r="A31" s="3" t="inlineStr">
        <is>
          <t>Long Term Debt And Capital Lease Obligation</t>
        </is>
      </c>
      <c r="C31" s="25" t="n">
        <v>7413</v>
      </c>
      <c r="D31" s="25" t="n">
        <v>13655</v>
      </c>
      <c r="E31" s="25" t="n">
        <v>13576</v>
      </c>
      <c r="F31" s="25" t="n">
        <v>14718</v>
      </c>
    </row>
    <row r="32">
      <c r="A32" s="3" t="inlineStr">
        <is>
          <t>Long Term Capital Lease Obligation</t>
        </is>
      </c>
      <c r="C32" s="25" t="n">
        <v>1393</v>
      </c>
      <c r="D32" s="25" t="n">
        <v>1712</v>
      </c>
      <c r="E32" s="25" t="n">
        <v>2339</v>
      </c>
      <c r="F32" s="25" t="n">
        <v>3185</v>
      </c>
    </row>
    <row r="33">
      <c r="A33" s="3" t="inlineStr">
        <is>
          <t>Long Term Debt</t>
        </is>
      </c>
      <c r="C33" s="25" t="n">
        <v>6020</v>
      </c>
      <c r="D33" s="25" t="n">
        <v>11943</v>
      </c>
      <c r="E33" s="25" t="n">
        <v>11237</v>
      </c>
      <c r="F33" s="25" t="n">
        <v>11533</v>
      </c>
    </row>
    <row r="34">
      <c r="A34" s="3" t="inlineStr">
        <is>
          <t>Current Liabilities</t>
        </is>
      </c>
      <c r="C34" s="25" t="n">
        <v>7539</v>
      </c>
      <c r="D34" s="25" t="n">
        <v>4765</v>
      </c>
      <c r="E34" s="25" t="n">
        <v>9248</v>
      </c>
      <c r="F34" s="25" t="n">
        <v>11454</v>
      </c>
    </row>
    <row r="35">
      <c r="A35" s="3" t="inlineStr">
        <is>
          <t>Other Current Liabilities</t>
        </is>
      </c>
      <c r="C35" s="25" t="n">
        <v>1346</v>
      </c>
      <c r="D35" s="25" t="n">
        <v>529</v>
      </c>
      <c r="E35" s="25" t="n">
        <v>1518</v>
      </c>
      <c r="F35" s="25" t="n">
        <v>1245</v>
      </c>
    </row>
    <row r="36">
      <c r="A36" s="3" t="inlineStr">
        <is>
          <t>Current Debt And Capital Lease Obligation</t>
        </is>
      </c>
      <c r="C36" s="25" t="n">
        <v>103</v>
      </c>
      <c r="D36" s="25" t="n">
        <v>278</v>
      </c>
      <c r="E36" s="25" t="n">
        <v>431</v>
      </c>
      <c r="F36" s="25" t="n">
        <v>560</v>
      </c>
    </row>
    <row r="37">
      <c r="A37" s="3" t="inlineStr">
        <is>
          <t>Current Capital Lease Obligation</t>
        </is>
      </c>
      <c r="C37" s="25" t="n">
        <v>103</v>
      </c>
      <c r="D37" s="25" t="n">
        <v>172</v>
      </c>
      <c r="E37" s="25" t="n">
        <v>325</v>
      </c>
      <c r="F37" s="25" t="n">
        <v>560</v>
      </c>
    </row>
    <row r="38">
      <c r="A38" s="3" t="inlineStr">
        <is>
          <t>Current Debt</t>
        </is>
      </c>
      <c r="B38" s="25" t="n">
        <v>1</v>
      </c>
      <c r="D38" s="25" t="n">
        <v>106</v>
      </c>
      <c r="E38" s="25" t="n">
        <v>106</v>
      </c>
    </row>
    <row r="39">
      <c r="A39" s="3" t="inlineStr">
        <is>
          <t>Other Current Borrowings</t>
        </is>
      </c>
      <c r="B39" s="25" t="n">
        <v>1</v>
      </c>
      <c r="D39" s="25" t="n">
        <v>106</v>
      </c>
      <c r="E39" s="25" t="n">
        <v>106</v>
      </c>
    </row>
    <row r="40">
      <c r="A40" s="3" t="inlineStr">
        <is>
          <t>Current Notes Payable</t>
        </is>
      </c>
      <c r="B40" s="25" t="n">
        <v>0</v>
      </c>
    </row>
    <row r="41">
      <c r="A41" s="3" t="inlineStr">
        <is>
          <t>Payables And Accrued Expenses</t>
        </is>
      </c>
      <c r="C41" s="25" t="n">
        <v>6090</v>
      </c>
      <c r="D41" s="25" t="n">
        <v>3958</v>
      </c>
      <c r="E41" s="25" t="n">
        <v>7299</v>
      </c>
      <c r="F41" s="25" t="n">
        <v>9649</v>
      </c>
    </row>
    <row r="42">
      <c r="A42" s="3" t="inlineStr">
        <is>
          <t>Current Accrued Expenses</t>
        </is>
      </c>
      <c r="C42" s="25" t="n">
        <v>1358</v>
      </c>
      <c r="D42" s="25" t="n">
        <v>747</v>
      </c>
      <c r="E42" s="25" t="n">
        <v>1430</v>
      </c>
      <c r="F42" s="25" t="n">
        <v>1498</v>
      </c>
    </row>
    <row r="43">
      <c r="A43" s="3" t="inlineStr">
        <is>
          <t>Payables</t>
        </is>
      </c>
      <c r="C43" s="25" t="n">
        <v>4732</v>
      </c>
      <c r="D43" s="25" t="n">
        <v>3211</v>
      </c>
      <c r="E43" s="25" t="n">
        <v>5869</v>
      </c>
      <c r="F43" s="25" t="n">
        <v>8151</v>
      </c>
    </row>
    <row r="44">
      <c r="A44" s="3" t="inlineStr">
        <is>
          <t>Other Payable</t>
        </is>
      </c>
      <c r="C44" s="25" t="n">
        <v>2170</v>
      </c>
      <c r="D44" s="25" t="n">
        <v>1419</v>
      </c>
      <c r="E44" s="25" t="n">
        <v>2925</v>
      </c>
      <c r="F44" s="25" t="n">
        <v>4391</v>
      </c>
    </row>
    <row r="45">
      <c r="A45" s="3" t="inlineStr">
        <is>
          <t>Total Tax Payable</t>
        </is>
      </c>
      <c r="C45" s="25" t="n">
        <v>420</v>
      </c>
      <c r="D45" s="25" t="n">
        <v>67</v>
      </c>
      <c r="E45" s="25" t="n">
        <v>218</v>
      </c>
      <c r="F45" s="25" t="n">
        <v>628</v>
      </c>
    </row>
    <row r="46">
      <c r="A46" s="3" t="inlineStr">
        <is>
          <t>Accounts Payable</t>
        </is>
      </c>
      <c r="C46" s="25" t="n">
        <v>2142</v>
      </c>
      <c r="D46" s="25" t="n">
        <v>1725</v>
      </c>
      <c r="E46" s="25" t="n">
        <v>2726</v>
      </c>
      <c r="F46" s="25" t="n">
        <v>3132</v>
      </c>
    </row>
    <row r="47">
      <c r="A47" s="3" t="inlineStr">
        <is>
          <t>Total Assets</t>
        </is>
      </c>
      <c r="C47" s="25" t="n">
        <v>66283</v>
      </c>
      <c r="D47" s="25" t="n">
        <v>64254</v>
      </c>
      <c r="E47" s="25" t="n">
        <v>69416</v>
      </c>
      <c r="F47" s="25" t="n">
        <v>82798</v>
      </c>
    </row>
    <row r="48">
      <c r="A48" s="3" t="inlineStr">
        <is>
          <t>Total Non Current Assets</t>
        </is>
      </c>
      <c r="C48" s="25" t="n">
        <v>44502</v>
      </c>
      <c r="D48" s="25" t="n">
        <v>43010</v>
      </c>
      <c r="E48" s="25" t="n">
        <v>45044</v>
      </c>
      <c r="F48" s="25" t="n">
        <v>53957</v>
      </c>
    </row>
    <row r="49">
      <c r="A49" s="3" t="inlineStr">
        <is>
          <t>Other Non Current Assets</t>
        </is>
      </c>
      <c r="C49" s="25" t="n">
        <v>1277</v>
      </c>
      <c r="D49" s="25" t="n">
        <v>1262</v>
      </c>
      <c r="E49" s="25" t="n">
        <v>1518</v>
      </c>
      <c r="F49" s="25" t="n">
        <v>2783</v>
      </c>
    </row>
    <row r="50">
      <c r="A50" s="3" t="inlineStr">
        <is>
          <t>Non Current Deferred Assets</t>
        </is>
      </c>
      <c r="C50" s="25" t="n">
        <v>702</v>
      </c>
      <c r="D50" s="25" t="n">
        <v>756</v>
      </c>
      <c r="E50" s="25" t="n">
        <v>520</v>
      </c>
      <c r="F50" s="25" t="n">
        <v>616</v>
      </c>
    </row>
    <row r="51">
      <c r="A51" s="3" t="inlineStr">
        <is>
          <t>Non Current Deferred Taxes Assets</t>
        </is>
      </c>
      <c r="C51" s="25" t="n">
        <v>702</v>
      </c>
      <c r="D51" s="25" t="n">
        <v>756</v>
      </c>
      <c r="E51" s="25" t="n">
        <v>520</v>
      </c>
      <c r="F51" s="25" t="n">
        <v>616</v>
      </c>
    </row>
    <row r="52">
      <c r="A52" s="3" t="inlineStr">
        <is>
          <t>Investments And Advances</t>
        </is>
      </c>
      <c r="C52" s="25" t="n">
        <v>1647</v>
      </c>
      <c r="D52" s="25" t="n">
        <v>844</v>
      </c>
      <c r="E52" s="25" t="n">
        <v>1046</v>
      </c>
      <c r="F52" s="25" t="n">
        <v>1629</v>
      </c>
    </row>
    <row r="53">
      <c r="A53" s="3" t="inlineStr">
        <is>
          <t>Investmentin Financial Assets</t>
        </is>
      </c>
      <c r="C53" s="25" t="n">
        <v>1647</v>
      </c>
      <c r="D53" s="25" t="n">
        <v>844</v>
      </c>
      <c r="E53" s="25" t="n">
        <v>1046</v>
      </c>
      <c r="F53" s="25" t="n">
        <v>1629</v>
      </c>
    </row>
    <row r="54">
      <c r="A54" s="3" t="inlineStr">
        <is>
          <t>Available For Sale Securities</t>
        </is>
      </c>
      <c r="C54" s="25" t="n">
        <v>1647</v>
      </c>
      <c r="D54" s="25" t="n">
        <v>844</v>
      </c>
      <c r="E54" s="25" t="n">
        <v>1046</v>
      </c>
      <c r="F54" s="25" t="n">
        <v>1629</v>
      </c>
    </row>
    <row r="55">
      <c r="A55" s="3" t="inlineStr">
        <is>
          <t>Goodwill And Other Intangible Assets</t>
        </is>
      </c>
      <c r="C55" s="25" t="n">
        <v>1649</v>
      </c>
      <c r="D55" s="25" t="n">
        <v>1554</v>
      </c>
      <c r="E55" s="25" t="n">
        <v>1566</v>
      </c>
      <c r="F55" s="25" t="n">
        <v>1603</v>
      </c>
    </row>
    <row r="56">
      <c r="A56" s="3" t="inlineStr">
        <is>
          <t>Other Intangible Assets</t>
        </is>
      </c>
      <c r="C56" s="25" t="n">
        <v>421</v>
      </c>
      <c r="D56" s="25" t="n">
        <v>404</v>
      </c>
      <c r="E56" s="25" t="n">
        <v>416</v>
      </c>
      <c r="F56" s="25" t="n">
        <v>453</v>
      </c>
    </row>
    <row r="57">
      <c r="A57" s="3" t="inlineStr">
        <is>
          <t>Goodwill</t>
        </is>
      </c>
      <c r="C57" s="25" t="n">
        <v>1228</v>
      </c>
      <c r="D57" s="25" t="n">
        <v>1150</v>
      </c>
      <c r="E57" s="25" t="n">
        <v>1150</v>
      </c>
      <c r="F57" s="25" t="n">
        <v>1150</v>
      </c>
    </row>
    <row r="58">
      <c r="A58" s="3" t="inlineStr">
        <is>
          <t>Net PPE</t>
        </is>
      </c>
      <c r="C58" s="25" t="n">
        <v>39227</v>
      </c>
      <c r="D58" s="25" t="n">
        <v>38594</v>
      </c>
      <c r="E58" s="25" t="n">
        <v>40394</v>
      </c>
      <c r="F58" s="25" t="n">
        <v>47326</v>
      </c>
    </row>
    <row r="59">
      <c r="A59" s="3" t="inlineStr">
        <is>
          <t>Accumulated Depreciation</t>
        </is>
      </c>
      <c r="C59" s="25" t="n">
        <v>-42782</v>
      </c>
      <c r="D59" s="25" t="n">
        <v>-49657</v>
      </c>
      <c r="E59" s="25" t="n">
        <v>-56298</v>
      </c>
      <c r="F59" s="25" t="n">
        <v>-63106</v>
      </c>
    </row>
    <row r="60">
      <c r="A60" s="3" t="inlineStr">
        <is>
          <t>Gross PPE</t>
        </is>
      </c>
      <c r="C60" s="25" t="n">
        <v>82009</v>
      </c>
      <c r="D60" s="25" t="n">
        <v>88251</v>
      </c>
      <c r="E60" s="25" t="n">
        <v>96692</v>
      </c>
      <c r="F60" s="25" t="n">
        <v>110432</v>
      </c>
    </row>
    <row r="61">
      <c r="A61" s="3" t="inlineStr">
        <is>
          <t>Construction In Progress</t>
        </is>
      </c>
      <c r="C61" s="25" t="n">
        <v>1897</v>
      </c>
      <c r="D61" s="25" t="n">
        <v>2464</v>
      </c>
      <c r="E61" s="25" t="n">
        <v>3444</v>
      </c>
      <c r="F61" s="25" t="n">
        <v>5518</v>
      </c>
    </row>
    <row r="62">
      <c r="A62" s="3" t="inlineStr">
        <is>
          <t>Other Properties</t>
        </is>
      </c>
      <c r="C62" s="25" t="n">
        <v>62032</v>
      </c>
      <c r="D62" s="25" t="n">
        <v>66221</v>
      </c>
      <c r="E62" s="25" t="n">
        <v>71458</v>
      </c>
      <c r="F62" s="25" t="n">
        <v>80670</v>
      </c>
    </row>
    <row r="63">
      <c r="A63" s="3" t="inlineStr">
        <is>
          <t>Machinery Furniture Equipment</t>
        </is>
      </c>
      <c r="C63" s="25" t="n">
        <v>1124</v>
      </c>
      <c r="D63" s="25" t="n">
        <v>1316</v>
      </c>
      <c r="E63" s="25" t="n">
        <v>1365</v>
      </c>
      <c r="F63" s="25" t="n">
        <v>1651</v>
      </c>
    </row>
    <row r="64">
      <c r="A64" s="3" t="inlineStr">
        <is>
          <t>Buildings And Improvements</t>
        </is>
      </c>
      <c r="C64" s="25" t="n">
        <v>16676</v>
      </c>
      <c r="D64" s="25" t="n">
        <v>17967</v>
      </c>
      <c r="E64" s="25" t="n">
        <v>20141</v>
      </c>
      <c r="F64" s="25" t="n">
        <v>22173</v>
      </c>
    </row>
    <row r="65">
      <c r="A65" s="3" t="inlineStr">
        <is>
          <t>Land And Improvements</t>
        </is>
      </c>
      <c r="C65" s="25" t="n">
        <v>280</v>
      </c>
      <c r="D65" s="25" t="n">
        <v>283</v>
      </c>
      <c r="E65" s="25" t="n">
        <v>284</v>
      </c>
      <c r="F65" s="25" t="n">
        <v>420</v>
      </c>
    </row>
    <row r="66">
      <c r="A66" s="3" t="inlineStr">
        <is>
          <t>Properties</t>
        </is>
      </c>
      <c r="C66" s="25" t="n">
        <v>0</v>
      </c>
      <c r="D66" s="25" t="n">
        <v>0</v>
      </c>
      <c r="E66" s="25" t="n">
        <v>0</v>
      </c>
      <c r="F66" s="25" t="n">
        <v>0</v>
      </c>
    </row>
    <row r="67">
      <c r="A67" s="3" t="inlineStr">
        <is>
          <t>Current Assets</t>
        </is>
      </c>
      <c r="C67" s="25" t="n">
        <v>21781</v>
      </c>
      <c r="D67" s="25" t="n">
        <v>21244</v>
      </c>
      <c r="E67" s="25" t="n">
        <v>24372</v>
      </c>
      <c r="F67" s="25" t="n">
        <v>28841</v>
      </c>
    </row>
    <row r="68">
      <c r="A68" s="3" t="inlineStr">
        <is>
          <t>Other Current Assets</t>
        </is>
      </c>
      <c r="C68" s="25" t="n">
        <v>657</v>
      </c>
      <c r="D68" s="25" t="n">
        <v>820</v>
      </c>
      <c r="E68" s="25" t="n">
        <v>776</v>
      </c>
      <c r="F68" s="25" t="n">
        <v>914</v>
      </c>
    </row>
    <row r="69">
      <c r="A69" s="3" t="inlineStr">
        <is>
          <t>Assets Held For Sale Current</t>
        </is>
      </c>
      <c r="B69" s="25" t="n">
        <v>974</v>
      </c>
      <c r="C69" s="25" t="n">
        <v>13</v>
      </c>
    </row>
    <row r="70">
      <c r="A70" s="3" t="inlineStr">
        <is>
          <t>Inventory</t>
        </is>
      </c>
      <c r="C70" s="25" t="n">
        <v>6663</v>
      </c>
      <c r="D70" s="25" t="n">
        <v>8387</v>
      </c>
      <c r="E70" s="25" t="n">
        <v>8875</v>
      </c>
      <c r="F70" s="25" t="n">
        <v>8355</v>
      </c>
    </row>
    <row r="71">
      <c r="A71" s="3" t="inlineStr">
        <is>
          <t>Finished Goods</t>
        </is>
      </c>
      <c r="C71" s="25" t="n">
        <v>1028</v>
      </c>
      <c r="D71" s="25" t="n">
        <v>1616</v>
      </c>
      <c r="E71" s="25" t="n">
        <v>1308</v>
      </c>
      <c r="F71" s="25" t="n">
        <v>1094</v>
      </c>
    </row>
    <row r="72">
      <c r="A72" s="3" t="inlineStr">
        <is>
          <t>Work In Process</t>
        </is>
      </c>
      <c r="C72" s="25" t="n">
        <v>4830</v>
      </c>
      <c r="D72" s="25" t="n">
        <v>6111</v>
      </c>
      <c r="E72" s="25" t="n">
        <v>6774</v>
      </c>
      <c r="F72" s="25" t="n">
        <v>6401</v>
      </c>
    </row>
    <row r="73">
      <c r="A73" s="3" t="inlineStr">
        <is>
          <t>Raw Materials</t>
        </is>
      </c>
      <c r="C73" s="25" t="n">
        <v>805</v>
      </c>
      <c r="D73" s="25" t="n">
        <v>660</v>
      </c>
      <c r="E73" s="25" t="n">
        <v>793</v>
      </c>
      <c r="F73" s="25" t="n">
        <v>860</v>
      </c>
    </row>
    <row r="74">
      <c r="A74" s="3" t="inlineStr">
        <is>
          <t>Receivables</t>
        </is>
      </c>
      <c r="C74" s="25" t="n">
        <v>5130</v>
      </c>
      <c r="D74" s="25" t="n">
        <v>2443</v>
      </c>
      <c r="E74" s="25" t="n">
        <v>6615</v>
      </c>
      <c r="F74" s="25" t="n">
        <v>9265</v>
      </c>
    </row>
    <row r="75">
      <c r="A75" s="3" t="inlineStr">
        <is>
          <t>Other Receivables</t>
        </is>
      </c>
      <c r="C75" s="25" t="n">
        <v>114</v>
      </c>
      <c r="D75" s="25" t="n">
        <v>201</v>
      </c>
      <c r="E75" s="25" t="n">
        <v>928</v>
      </c>
      <c r="F75" s="25" t="n">
        <v>1666</v>
      </c>
    </row>
    <row r="76">
      <c r="A76" s="3" t="inlineStr">
        <is>
          <t>Taxes Receivable</t>
        </is>
      </c>
      <c r="C76" s="25" t="n">
        <v>251</v>
      </c>
      <c r="D76" s="25" t="n">
        <v>194</v>
      </c>
      <c r="E76" s="25" t="n">
        <v>268</v>
      </c>
      <c r="F76" s="25" t="n">
        <v>436</v>
      </c>
    </row>
    <row r="77">
      <c r="A77" s="3" t="inlineStr">
        <is>
          <t>Accounts Receivable</t>
        </is>
      </c>
      <c r="C77" s="25" t="n">
        <v>4765</v>
      </c>
      <c r="D77" s="25" t="n">
        <v>2048</v>
      </c>
      <c r="E77" s="25" t="n">
        <v>5419</v>
      </c>
      <c r="F77" s="25" t="n">
        <v>7163</v>
      </c>
    </row>
    <row r="78">
      <c r="A78" s="3" t="inlineStr">
        <is>
          <t>Cash Cash Equivalents And Short Term Investments</t>
        </is>
      </c>
      <c r="C78" s="25" t="n">
        <v>9331</v>
      </c>
      <c r="D78" s="25" t="n">
        <v>9594</v>
      </c>
      <c r="E78" s="25" t="n">
        <v>8106</v>
      </c>
      <c r="F78" s="25" t="n">
        <v>10307</v>
      </c>
    </row>
    <row r="79">
      <c r="A79" s="3" t="inlineStr">
        <is>
          <t>Other Short Term Investments</t>
        </is>
      </c>
      <c r="C79" s="25" t="n">
        <v>1069</v>
      </c>
      <c r="D79" s="25" t="n">
        <v>1017</v>
      </c>
      <c r="E79" s="25" t="n">
        <v>1065</v>
      </c>
      <c r="F79" s="25" t="n">
        <v>665</v>
      </c>
    </row>
    <row r="80">
      <c r="A80" s="3" t="inlineStr">
        <is>
          <t>Cash And Cash Equivalents</t>
        </is>
      </c>
      <c r="C80" s="25" t="n">
        <v>8262</v>
      </c>
      <c r="D80" s="25" t="n">
        <v>8577</v>
      </c>
      <c r="E80" s="25" t="n">
        <v>7041</v>
      </c>
      <c r="F80" s="25" t="n">
        <v>9642</v>
      </c>
    </row>
    <row r="81">
      <c r="A81" s="3" t="inlineStr">
        <is>
          <t>Cash Equivalents</t>
        </is>
      </c>
      <c r="C81" s="25" t="n">
        <v>2207</v>
      </c>
      <c r="D81" s="25" t="n">
        <v>2806</v>
      </c>
      <c r="E81" s="25" t="n">
        <v>387</v>
      </c>
      <c r="F81" s="25" t="n">
        <v>1767</v>
      </c>
    </row>
    <row r="82">
      <c r="A82" s="3" t="inlineStr">
        <is>
          <t>Cash Financial</t>
        </is>
      </c>
      <c r="C82" s="25" t="n">
        <v>6055</v>
      </c>
      <c r="D82" s="25" t="n">
        <v>5771</v>
      </c>
      <c r="E82" s="25" t="n">
        <v>6654</v>
      </c>
      <c r="F82" s="25" t="n">
        <v>7875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MU — CF (reported)</t>
        </is>
      </c>
    </row>
    <row r="2">
      <c r="A2" s="2" t="inlineStr">
        <is>
          <t>As reported by Yahoo snapshot as of 2026-07-09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Free Cash Flow</t>
        </is>
      </c>
      <c r="C5" s="25" t="n">
        <v>3114</v>
      </c>
      <c r="D5" s="25" t="n">
        <v>-6117</v>
      </c>
      <c r="E5" s="25" t="n">
        <v>121</v>
      </c>
      <c r="F5" s="25" t="n">
        <v>1668</v>
      </c>
    </row>
    <row r="6">
      <c r="A6" s="3" t="inlineStr">
        <is>
          <t>Repurchase Of Capital Stock</t>
        </is>
      </c>
      <c r="C6" s="25" t="n">
        <v>-2432</v>
      </c>
      <c r="D6" s="25" t="n">
        <v>-425</v>
      </c>
      <c r="E6" s="25" t="n">
        <v>-300</v>
      </c>
      <c r="F6" s="25" t="n">
        <v>0</v>
      </c>
    </row>
    <row r="7">
      <c r="A7" s="3" t="inlineStr">
        <is>
          <t>Repayment Of Debt</t>
        </is>
      </c>
      <c r="C7" s="25" t="n">
        <v>-2032</v>
      </c>
      <c r="D7" s="25" t="n">
        <v>-761</v>
      </c>
      <c r="E7" s="25" t="n">
        <v>-1897</v>
      </c>
      <c r="F7" s="25" t="n">
        <v>-4619</v>
      </c>
    </row>
    <row r="8">
      <c r="A8" s="3" t="inlineStr">
        <is>
          <t>Issuance Of Debt</t>
        </is>
      </c>
      <c r="C8" s="25" t="n">
        <v>2000</v>
      </c>
      <c r="D8" s="25" t="n">
        <v>6716</v>
      </c>
      <c r="E8" s="25" t="n">
        <v>999</v>
      </c>
      <c r="F8" s="25" t="n">
        <v>4430</v>
      </c>
    </row>
    <row r="9">
      <c r="A9" s="3" t="inlineStr">
        <is>
          <t>Capital Expenditure</t>
        </is>
      </c>
      <c r="C9" s="25" t="n">
        <v>-12067</v>
      </c>
      <c r="D9" s="25" t="n">
        <v>-7676</v>
      </c>
      <c r="E9" s="25" t="n">
        <v>-8386</v>
      </c>
      <c r="F9" s="25" t="n">
        <v>-15857</v>
      </c>
    </row>
    <row r="10">
      <c r="A10" s="3" t="inlineStr">
        <is>
          <t>Interest Paid Supplemental Data</t>
        </is>
      </c>
      <c r="C10" s="25" t="n">
        <v>154</v>
      </c>
      <c r="D10" s="25" t="n">
        <v>323</v>
      </c>
      <c r="E10" s="25" t="n">
        <v>503</v>
      </c>
      <c r="F10" s="25" t="n">
        <v>418</v>
      </c>
    </row>
    <row r="11">
      <c r="A11" s="3" t="inlineStr">
        <is>
          <t>Income Tax Paid Supplemental Data</t>
        </is>
      </c>
      <c r="C11" s="25" t="n">
        <v>493</v>
      </c>
      <c r="D11" s="25" t="n">
        <v>532</v>
      </c>
      <c r="E11" s="25" t="n">
        <v>338</v>
      </c>
      <c r="F11" s="25" t="n">
        <v>583</v>
      </c>
    </row>
    <row r="12">
      <c r="A12" s="3" t="inlineStr">
        <is>
          <t>End Cash Position</t>
        </is>
      </c>
      <c r="C12" s="25" t="n">
        <v>8339</v>
      </c>
      <c r="D12" s="25" t="n">
        <v>8656</v>
      </c>
      <c r="E12" s="25" t="n">
        <v>7052</v>
      </c>
      <c r="F12" s="25" t="n">
        <v>9646</v>
      </c>
    </row>
    <row r="13">
      <c r="A13" s="3" t="inlineStr">
        <is>
          <t>Beginning Cash Position</t>
        </is>
      </c>
      <c r="C13" s="25" t="n">
        <v>7829</v>
      </c>
      <c r="D13" s="25" t="n">
        <v>8339</v>
      </c>
      <c r="E13" s="25" t="n">
        <v>8656</v>
      </c>
      <c r="F13" s="25" t="n">
        <v>7052</v>
      </c>
    </row>
    <row r="14">
      <c r="A14" s="3" t="inlineStr">
        <is>
          <t>Effect Of Exchange Rate Changes</t>
        </is>
      </c>
      <c r="C14" s="25" t="n">
        <v>-106</v>
      </c>
      <c r="D14" s="25" t="n">
        <v>-34</v>
      </c>
      <c r="E14" s="25" t="n">
        <v>40</v>
      </c>
      <c r="F14" s="25" t="n">
        <v>6</v>
      </c>
    </row>
    <row r="15">
      <c r="A15" s="3" t="inlineStr">
        <is>
          <t>Changes In Cash</t>
        </is>
      </c>
      <c r="C15" s="25" t="n">
        <v>616</v>
      </c>
      <c r="D15" s="25" t="n">
        <v>351</v>
      </c>
      <c r="E15" s="25" t="n">
        <v>-1644</v>
      </c>
      <c r="F15" s="25" t="n">
        <v>2588</v>
      </c>
    </row>
    <row r="16">
      <c r="A16" s="3" t="inlineStr">
        <is>
          <t>Financing Cash Flow</t>
        </is>
      </c>
      <c r="C16" s="25" t="n">
        <v>-2980</v>
      </c>
      <c r="D16" s="25" t="n">
        <v>4983</v>
      </c>
      <c r="E16" s="25" t="n">
        <v>-1842</v>
      </c>
      <c r="F16" s="25" t="n">
        <v>-850</v>
      </c>
    </row>
    <row r="17">
      <c r="A17" s="3" t="inlineStr">
        <is>
          <t>Cash Flow From Continuing Financing Activities</t>
        </is>
      </c>
      <c r="C17" s="25" t="n">
        <v>-2980</v>
      </c>
      <c r="D17" s="25" t="n">
        <v>4983</v>
      </c>
      <c r="E17" s="25" t="n">
        <v>-1842</v>
      </c>
      <c r="F17" s="25" t="n">
        <v>-850</v>
      </c>
    </row>
    <row r="18">
      <c r="A18" s="3" t="inlineStr">
        <is>
          <t>Net Other Financing Charges</t>
        </is>
      </c>
      <c r="C18" s="25" t="n">
        <v>-55</v>
      </c>
      <c r="D18" s="25" t="n">
        <v>-43</v>
      </c>
      <c r="E18" s="25" t="n">
        <v>-131</v>
      </c>
      <c r="F18" s="25" t="n">
        <v>-139</v>
      </c>
    </row>
    <row r="19">
      <c r="A19" s="3" t="inlineStr">
        <is>
          <t>Proceeds From Stock Option Exercised</t>
        </is>
      </c>
      <c r="B19" s="25" t="n">
        <v>-94</v>
      </c>
      <c r="C19" s="25" t="n">
        <v>-125</v>
      </c>
    </row>
    <row r="20">
      <c r="A20" s="3" t="inlineStr">
        <is>
          <t>Cash Dividends Paid</t>
        </is>
      </c>
      <c r="C20" s="25" t="n">
        <v>-461</v>
      </c>
      <c r="D20" s="25" t="n">
        <v>-504</v>
      </c>
      <c r="E20" s="25" t="n">
        <v>-513</v>
      </c>
      <c r="F20" s="25" t="n">
        <v>-522</v>
      </c>
    </row>
    <row r="21">
      <c r="A21" s="3" t="inlineStr">
        <is>
          <t>Common Stock Dividend Paid</t>
        </is>
      </c>
      <c r="C21" s="25" t="n">
        <v>-461</v>
      </c>
      <c r="D21" s="25" t="n">
        <v>-504</v>
      </c>
      <c r="E21" s="25" t="n">
        <v>-513</v>
      </c>
      <c r="F21" s="25" t="n">
        <v>-522</v>
      </c>
    </row>
    <row r="22">
      <c r="A22" s="3" t="inlineStr">
        <is>
          <t>Net Common Stock Issuance</t>
        </is>
      </c>
      <c r="C22" s="25" t="n">
        <v>-2432</v>
      </c>
      <c r="D22" s="25" t="n">
        <v>-425</v>
      </c>
      <c r="E22" s="25" t="n">
        <v>-300</v>
      </c>
      <c r="F22" s="25" t="n">
        <v>0</v>
      </c>
    </row>
    <row r="23">
      <c r="A23" s="3" t="inlineStr">
        <is>
          <t>Common Stock Payments</t>
        </is>
      </c>
      <c r="C23" s="25" t="n">
        <v>-2432</v>
      </c>
      <c r="D23" s="25" t="n">
        <v>-425</v>
      </c>
      <c r="E23" s="25" t="n">
        <v>-300</v>
      </c>
      <c r="F23" s="25" t="n">
        <v>0</v>
      </c>
    </row>
    <row r="24">
      <c r="A24" s="3" t="inlineStr">
        <is>
          <t>Net Issuance Payments Of Debt</t>
        </is>
      </c>
      <c r="C24" s="25" t="n">
        <v>-32</v>
      </c>
      <c r="D24" s="25" t="n">
        <v>5955</v>
      </c>
      <c r="E24" s="25" t="n">
        <v>-898</v>
      </c>
      <c r="F24" s="25" t="n">
        <v>-189</v>
      </c>
    </row>
    <row r="25">
      <c r="A25" s="3" t="inlineStr">
        <is>
          <t>Net Long Term Debt Issuance</t>
        </is>
      </c>
      <c r="C25" s="25" t="n">
        <v>-32</v>
      </c>
      <c r="D25" s="25" t="n">
        <v>5955</v>
      </c>
      <c r="E25" s="25" t="n">
        <v>-898</v>
      </c>
      <c r="F25" s="25" t="n">
        <v>-189</v>
      </c>
    </row>
    <row r="26">
      <c r="A26" s="3" t="inlineStr">
        <is>
          <t>Long Term Debt Payments</t>
        </is>
      </c>
      <c r="C26" s="25" t="n">
        <v>-2032</v>
      </c>
      <c r="D26" s="25" t="n">
        <v>-761</v>
      </c>
      <c r="E26" s="25" t="n">
        <v>-1897</v>
      </c>
      <c r="F26" s="25" t="n">
        <v>-4619</v>
      </c>
    </row>
    <row r="27">
      <c r="A27" s="3" t="inlineStr">
        <is>
          <t>Long Term Debt Issuance</t>
        </is>
      </c>
      <c r="C27" s="25" t="n">
        <v>2000</v>
      </c>
      <c r="D27" s="25" t="n">
        <v>6716</v>
      </c>
      <c r="E27" s="25" t="n">
        <v>999</v>
      </c>
      <c r="F27" s="25" t="n">
        <v>4430</v>
      </c>
    </row>
    <row r="28">
      <c r="A28" s="3" t="inlineStr">
        <is>
          <t>Investing Cash Flow</t>
        </is>
      </c>
      <c r="C28" s="25" t="n">
        <v>-11585</v>
      </c>
      <c r="D28" s="25" t="n">
        <v>-6191</v>
      </c>
      <c r="E28" s="25" t="n">
        <v>-8309</v>
      </c>
      <c r="F28" s="25" t="n">
        <v>-14087</v>
      </c>
    </row>
    <row r="29">
      <c r="A29" s="3" t="inlineStr">
        <is>
          <t>Cash Flow From Continuing Investing Activities</t>
        </is>
      </c>
      <c r="C29" s="25" t="n">
        <v>-11585</v>
      </c>
      <c r="D29" s="25" t="n">
        <v>-6191</v>
      </c>
      <c r="E29" s="25" t="n">
        <v>-8309</v>
      </c>
      <c r="F29" s="25" t="n">
        <v>-14087</v>
      </c>
    </row>
    <row r="30">
      <c r="A30" s="3" t="inlineStr">
        <is>
          <t>Net Other Investing Changes</t>
        </is>
      </c>
      <c r="C30" s="25" t="n">
        <v>-251</v>
      </c>
      <c r="D30" s="25" t="n">
        <v>617</v>
      </c>
      <c r="E30" s="25" t="n">
        <v>282</v>
      </c>
      <c r="F30" s="25" t="n">
        <v>1962</v>
      </c>
    </row>
    <row r="31">
      <c r="A31" s="3" t="inlineStr">
        <is>
          <t>Net Investment Purchase And Sale</t>
        </is>
      </c>
      <c r="C31" s="25" t="n">
        <v>-155</v>
      </c>
      <c r="D31" s="25" t="n">
        <v>868</v>
      </c>
      <c r="E31" s="25" t="n">
        <v>-205</v>
      </c>
      <c r="F31" s="25" t="n">
        <v>-192</v>
      </c>
    </row>
    <row r="32">
      <c r="A32" s="3" t="inlineStr">
        <is>
          <t>Sale Of Investment</t>
        </is>
      </c>
      <c r="C32" s="25" t="n">
        <v>1615</v>
      </c>
      <c r="D32" s="25" t="n">
        <v>1591</v>
      </c>
      <c r="E32" s="25" t="n">
        <v>1794</v>
      </c>
      <c r="F32" s="25" t="n">
        <v>1698</v>
      </c>
    </row>
    <row r="33">
      <c r="A33" s="3" t="inlineStr">
        <is>
          <t>Purchase Of Investment</t>
        </is>
      </c>
      <c r="C33" s="25" t="n">
        <v>-1770</v>
      </c>
      <c r="D33" s="25" t="n">
        <v>-723</v>
      </c>
      <c r="E33" s="25" t="n">
        <v>-1999</v>
      </c>
      <c r="F33" s="25" t="n">
        <v>-1890</v>
      </c>
    </row>
    <row r="34">
      <c r="A34" s="3" t="inlineStr">
        <is>
          <t>Net Business Purchase And Sale</t>
        </is>
      </c>
      <c r="B34" s="25" t="n">
        <v>0</v>
      </c>
      <c r="C34" s="25" t="n">
        <v>888</v>
      </c>
      <c r="D34" s="25" t="n">
        <v>0</v>
      </c>
      <c r="E34" s="25" t="n">
        <v>0</v>
      </c>
    </row>
    <row r="35">
      <c r="A35" s="3" t="inlineStr">
        <is>
          <t>Sale Of Business</t>
        </is>
      </c>
      <c r="B35" s="25" t="n">
        <v>0</v>
      </c>
      <c r="C35" s="25" t="n">
        <v>888</v>
      </c>
      <c r="D35" s="25" t="n">
        <v>0</v>
      </c>
      <c r="E35" s="25" t="n">
        <v>0</v>
      </c>
    </row>
    <row r="36">
      <c r="A36" s="3" t="inlineStr">
        <is>
          <t>Capital Expenditure Reported</t>
        </is>
      </c>
      <c r="C36" s="25" t="n">
        <v>-12067</v>
      </c>
      <c r="D36" s="25" t="n">
        <v>-7676</v>
      </c>
      <c r="E36" s="25" t="n">
        <v>-8386</v>
      </c>
      <c r="F36" s="25" t="n">
        <v>-15857</v>
      </c>
    </row>
    <row r="37">
      <c r="A37" s="3" t="inlineStr">
        <is>
          <t>Operating Cash Flow</t>
        </is>
      </c>
      <c r="C37" s="25" t="n">
        <v>15181</v>
      </c>
      <c r="D37" s="25" t="n">
        <v>1559</v>
      </c>
      <c r="E37" s="25" t="n">
        <v>8507</v>
      </c>
      <c r="F37" s="25" t="n">
        <v>17525</v>
      </c>
    </row>
    <row r="38">
      <c r="A38" s="3" t="inlineStr">
        <is>
          <t>Cash Flow From Continuing Operating Activities</t>
        </is>
      </c>
      <c r="C38" s="25" t="n">
        <v>15181</v>
      </c>
      <c r="D38" s="25" t="n">
        <v>1559</v>
      </c>
      <c r="E38" s="25" t="n">
        <v>8507</v>
      </c>
      <c r="F38" s="25" t="n">
        <v>17525</v>
      </c>
    </row>
    <row r="39">
      <c r="A39" s="3" t="inlineStr">
        <is>
          <t>Change In Working Capital</t>
        </is>
      </c>
      <c r="C39" s="25" t="n">
        <v>-1255</v>
      </c>
      <c r="D39" s="25" t="n">
        <v>-2911</v>
      </c>
      <c r="E39" s="25" t="n">
        <v>-1165</v>
      </c>
      <c r="F39" s="25" t="n">
        <v>-666</v>
      </c>
    </row>
    <row r="40">
      <c r="A40" s="3" t="inlineStr">
        <is>
          <t>Change In Other Working Capital</t>
        </is>
      </c>
      <c r="B40" s="25" t="n">
        <v>-50</v>
      </c>
    </row>
    <row r="41">
      <c r="A41" s="3" t="inlineStr">
        <is>
          <t>Change In Other Current Liabilities</t>
        </is>
      </c>
      <c r="C41" s="25" t="n">
        <v>400</v>
      </c>
      <c r="D41" s="25" t="n">
        <v>-817</v>
      </c>
      <c r="E41" s="25" t="n">
        <v>989</v>
      </c>
      <c r="F41" s="25" t="n">
        <v>-272</v>
      </c>
    </row>
    <row r="42">
      <c r="A42" s="3" t="inlineStr">
        <is>
          <t>Change In Payables And Accrued Expense</t>
        </is>
      </c>
      <c r="C42" s="25" t="n">
        <v>334</v>
      </c>
      <c r="D42" s="25" t="n">
        <v>-1302</v>
      </c>
      <c r="E42" s="25" t="n">
        <v>1915</v>
      </c>
      <c r="F42" s="25" t="n">
        <v>862</v>
      </c>
    </row>
    <row r="43">
      <c r="A43" s="3" t="inlineStr">
        <is>
          <t>Change In Inventory</t>
        </is>
      </c>
      <c r="C43" s="25" t="n">
        <v>-2179</v>
      </c>
      <c r="D43" s="25" t="n">
        <v>-3555</v>
      </c>
      <c r="E43" s="25" t="n">
        <v>-488</v>
      </c>
      <c r="F43" s="25" t="n">
        <v>520</v>
      </c>
    </row>
    <row r="44">
      <c r="A44" s="3" t="inlineStr">
        <is>
          <t>Change In Receivables</t>
        </is>
      </c>
      <c r="C44" s="25" t="n">
        <v>190</v>
      </c>
      <c r="D44" s="25" t="n">
        <v>2763</v>
      </c>
      <c r="E44" s="25" t="n">
        <v>-3581</v>
      </c>
      <c r="F44" s="25" t="n">
        <v>-1776</v>
      </c>
    </row>
    <row r="45">
      <c r="A45" s="3" t="inlineStr">
        <is>
          <t>Other Non Cash Items</t>
        </is>
      </c>
      <c r="C45" s="25" t="n">
        <v>119</v>
      </c>
      <c r="D45" s="25" t="n">
        <v>19</v>
      </c>
      <c r="E45" s="25" t="n">
        <v>281</v>
      </c>
      <c r="F45" s="25" t="n">
        <v>328</v>
      </c>
    </row>
    <row r="46">
      <c r="A46" s="3" t="inlineStr">
        <is>
          <t>Stock Based Compensation</t>
        </is>
      </c>
      <c r="C46" s="25" t="n">
        <v>514</v>
      </c>
      <c r="D46" s="25" t="n">
        <v>596</v>
      </c>
      <c r="E46" s="25" t="n">
        <v>833</v>
      </c>
      <c r="F46" s="25" t="n">
        <v>972</v>
      </c>
    </row>
    <row r="47">
      <c r="A47" s="3" t="inlineStr">
        <is>
          <t>Asset Impairment Charge</t>
        </is>
      </c>
      <c r="C47" s="25" t="n">
        <v>0</v>
      </c>
      <c r="D47" s="25" t="n">
        <v>1932</v>
      </c>
      <c r="E47" s="25" t="n">
        <v>0</v>
      </c>
      <c r="F47" s="25" t="n">
        <v>0</v>
      </c>
    </row>
    <row r="48">
      <c r="A48" s="3" t="inlineStr">
        <is>
          <t>Depreciation Amortization Depletion</t>
        </is>
      </c>
      <c r="C48" s="25" t="n">
        <v>7116</v>
      </c>
      <c r="D48" s="25" t="n">
        <v>7756</v>
      </c>
      <c r="E48" s="25" t="n">
        <v>7780</v>
      </c>
      <c r="F48" s="25" t="n">
        <v>8352</v>
      </c>
    </row>
    <row r="49">
      <c r="A49" s="3" t="inlineStr">
        <is>
          <t>Depreciation And Amortization</t>
        </is>
      </c>
      <c r="C49" s="25" t="n">
        <v>7116</v>
      </c>
      <c r="D49" s="25" t="n">
        <v>7756</v>
      </c>
      <c r="E49" s="25" t="n">
        <v>7780</v>
      </c>
      <c r="F49" s="25" t="n">
        <v>8352</v>
      </c>
    </row>
    <row r="50">
      <c r="A50" s="3" t="inlineStr">
        <is>
          <t>Operating Gains Losses</t>
        </is>
      </c>
      <c r="B50" s="25" t="n">
        <v>1</v>
      </c>
      <c r="C50" s="25" t="n">
        <v>83</v>
      </c>
    </row>
    <row r="51">
      <c r="A51" s="3" t="inlineStr">
        <is>
          <t>Net Income From Continuing Operations</t>
        </is>
      </c>
      <c r="C51" s="25" t="n">
        <v>8687</v>
      </c>
      <c r="D51" s="25" t="n">
        <v>-5833</v>
      </c>
      <c r="E51" s="25" t="n">
        <v>778</v>
      </c>
      <c r="F51" s="25" t="n">
        <v>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2026-10-13T09:23:39Z</dcterms:created>
  <dcterms:modified xmlns:dcterms="http://purl.org/dc/terms/" xmlns:xsi="http://www.w3.org/2001/XMLSchema-instance" xsi:type="dcterms:W3CDTF">2026-10-13T09:23:39Z</dcterms:modified>
</cp:coreProperties>
</file>