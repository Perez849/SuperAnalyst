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WACC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Sensitivity" sheetId="6" state="visible" r:id="rId6"/>
    <sheet xmlns:r="http://schemas.openxmlformats.org/officeDocument/2006/relationships" name="DDM" sheetId="7" state="visible" r:id="rId7"/>
    <sheet xmlns:r="http://schemas.openxmlformats.org/officeDocument/2006/relationships" name="IS (reported)" sheetId="8" state="visible" r:id="rId8"/>
    <sheet xmlns:r="http://schemas.openxmlformats.org/officeDocument/2006/relationships" name="BS (reported)" sheetId="9" state="visible" r:id="rId9"/>
    <sheet xmlns:r="http://schemas.openxmlformats.org/officeDocument/2006/relationships" name="CF (reported)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165" fontId="5" fillId="0" borderId="0" pivotButton="0" quotePrefix="0" xfId="0"/>
    <xf numFmtId="165" fontId="4" fillId="0" borderId="0" pivotButton="0" quotePrefix="0" xfId="0"/>
    <xf numFmtId="166" fontId="5" fillId="2" borderId="0" pivotButton="0" quotePrefix="0" xfId="0"/>
    <xf numFmtId="166" fontId="5" fillId="0" borderId="0" pivotButton="0" quotePrefix="0" xfId="0"/>
    <xf numFmtId="2" fontId="5" fillId="2" borderId="0" pivotButton="0" quotePrefix="0" xfId="0"/>
    <xf numFmtId="167" fontId="5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5" fontId="7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  <xf numFmtId="164" fontId="4" fillId="0" borderId="0" pivotButton="0" quotePrefix="0" xfId="0"/>
    <xf numFmtId="167" fontId="5" fillId="2" borderId="0" pivotButton="0" quotePrefix="0" xfId="0"/>
    <xf numFmtId="164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Meridian Industrials (illustrative) (DEMO)</t>
        </is>
      </c>
    </row>
    <row r="2">
      <c r="A2" s="2" t="inlineStr">
        <is>
          <t>Industrials · Standard (FCFF-DCF led) · generated 2026-07-04 · data: DEMO (synthetic)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Blended fair value (report)</t>
        </is>
      </c>
      <c r="B7" s="6" t="n">
        <v>182.9753039200974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DEMO — Assumptions &amp; Drivers</t>
        </is>
      </c>
    </row>
    <row r="2">
      <c r="A2" s="2" t="inlineStr">
        <is>
          <t>Blue cells are inputs — change them and the whole model recalculates. Source: DEMO (synthetic), retrieved 2026-07-04.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182</v>
      </c>
    </row>
    <row r="6">
      <c r="A6" s="3" t="inlineStr">
        <is>
          <t>Diluted shares (mn)</t>
        </is>
      </c>
      <c r="B6" s="9" t="n">
        <v>1520</v>
      </c>
    </row>
    <row r="7">
      <c r="A7" s="3" t="inlineStr">
        <is>
          <t>Total debt (USDmm)</t>
        </is>
      </c>
      <c r="B7" s="9" t="n">
        <v>12000</v>
      </c>
    </row>
    <row r="8">
      <c r="A8" s="3" t="inlineStr">
        <is>
          <t>Cash &amp; ST investments (USDmm)</t>
        </is>
      </c>
      <c r="B8" s="9" t="n">
        <v>12500</v>
      </c>
    </row>
    <row r="9">
      <c r="A9" s="3" t="inlineStr">
        <is>
          <t>Minority interest (USDmm)</t>
        </is>
      </c>
      <c r="B9" s="9" t="n">
        <v>300</v>
      </c>
    </row>
    <row r="10">
      <c r="A10" s="3" t="inlineStr">
        <is>
          <t>Net debt (USDmm)</t>
        </is>
      </c>
      <c r="B10" s="10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11" t="n">
        <v>0.043</v>
      </c>
    </row>
    <row r="14">
      <c r="A14" s="3" t="inlineStr">
        <is>
          <t>Equity risk premium (ERP)</t>
        </is>
      </c>
      <c r="B14" s="11" t="n">
        <v>0.046</v>
      </c>
    </row>
    <row r="15">
      <c r="A15" s="3" t="inlineStr">
        <is>
          <t>Country risk premium</t>
        </is>
      </c>
      <c r="B15" s="12" t="n">
        <v>0</v>
      </c>
    </row>
    <row r="16">
      <c r="A16" s="3" t="inlineStr">
        <is>
          <t>Size premium</t>
        </is>
      </c>
      <c r="B16" s="12" t="n">
        <v>0</v>
      </c>
    </row>
    <row r="17">
      <c r="A17" s="3" t="inlineStr">
        <is>
          <t>Beta (levered)</t>
        </is>
      </c>
      <c r="B17" s="13" t="n">
        <v>1.12</v>
      </c>
    </row>
    <row r="18">
      <c r="A18" s="3" t="inlineStr">
        <is>
          <t>Pre-tax cost of debt</t>
        </is>
      </c>
      <c r="B18" s="12" t="n">
        <v>0.04899999999999999</v>
      </c>
    </row>
    <row r="19">
      <c r="A19" s="3" t="inlineStr">
        <is>
          <t>Tax rate</t>
        </is>
      </c>
      <c r="B19" s="14" t="n">
        <v>0.19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11" t="n">
        <v>0.025</v>
      </c>
    </row>
    <row r="24">
      <c r="A24" s="8" t="inlineStr">
        <is>
          <t>Per-year forecast drivers</t>
        </is>
      </c>
    </row>
    <row r="25">
      <c r="A25" s="15" t="inlineStr">
        <is>
          <t>Driver</t>
        </is>
      </c>
      <c r="B25" s="16" t="inlineStr">
        <is>
          <t>FY2026E</t>
        </is>
      </c>
      <c r="C25" s="16" t="inlineStr">
        <is>
          <t>FY2027E</t>
        </is>
      </c>
      <c r="D25" s="16" t="inlineStr">
        <is>
          <t>FY2028E</t>
        </is>
      </c>
      <c r="E25" s="16" t="inlineStr">
        <is>
          <t>FY2029E</t>
        </is>
      </c>
      <c r="F25" s="16" t="inlineStr">
        <is>
          <t>FY2030E</t>
        </is>
      </c>
    </row>
    <row r="26">
      <c r="A26" s="3" t="inlineStr">
        <is>
          <t>Revenue growth</t>
        </is>
      </c>
      <c r="B26" s="14" t="n">
        <v>0.07474550587629027</v>
      </c>
      <c r="C26" s="14" t="n">
        <v>0.0623091294072177</v>
      </c>
      <c r="D26" s="14" t="n">
        <v>0.04987275293814514</v>
      </c>
      <c r="E26" s="14" t="n">
        <v>0.03743637646907257</v>
      </c>
      <c r="F26" s="14" t="n">
        <v>0.025</v>
      </c>
    </row>
    <row r="27">
      <c r="A27" s="3" t="inlineStr">
        <is>
          <t>EBIT margin</t>
        </is>
      </c>
      <c r="B27" s="14" t="n">
        <v>0.285</v>
      </c>
      <c r="C27" s="14" t="n">
        <v>0.2837500000000001</v>
      </c>
      <c r="D27" s="14" t="n">
        <v>0.2825</v>
      </c>
      <c r="E27" s="14" t="n">
        <v>0.28125</v>
      </c>
      <c r="F27" s="14" t="n">
        <v>0.28</v>
      </c>
    </row>
    <row r="28">
      <c r="A28" s="3" t="inlineStr">
        <is>
          <t>D&amp;A % of revenue</t>
        </is>
      </c>
      <c r="B28" s="14" t="n">
        <v>0.052</v>
      </c>
      <c r="C28" s="14" t="n">
        <v>0.052</v>
      </c>
      <c r="D28" s="14" t="n">
        <v>0.052</v>
      </c>
      <c r="E28" s="14" t="n">
        <v>0.052</v>
      </c>
      <c r="F28" s="14" t="n">
        <v>0.052</v>
      </c>
    </row>
    <row r="29">
      <c r="A29" s="3" t="inlineStr">
        <is>
          <t>Capex % of revenue</t>
        </is>
      </c>
      <c r="B29" s="14" t="n">
        <v>0.04800000000000001</v>
      </c>
      <c r="C29" s="14" t="n">
        <v>0.04800000000000001</v>
      </c>
      <c r="D29" s="14" t="n">
        <v>0.04800000000000001</v>
      </c>
      <c r="E29" s="14" t="n">
        <v>0.04800000000000001</v>
      </c>
      <c r="F29" s="14" t="n">
        <v>0.04800000000000001</v>
      </c>
    </row>
    <row r="30">
      <c r="A30" s="3" t="inlineStr">
        <is>
          <t>ΔNWC % of Δrevenue</t>
        </is>
      </c>
      <c r="B30" s="14" t="n">
        <v>0.1647705627705626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17">
        <f>Assumptions!$B$5*Assumptions!$B$6</f>
        <v/>
      </c>
    </row>
    <row r="7">
      <c r="A7" s="3" t="inlineStr">
        <is>
          <t>Debt (book, mm)</t>
        </is>
      </c>
      <c r="B7" s="17">
        <f>Assumptions!$B$7</f>
        <v/>
      </c>
    </row>
    <row r="8">
      <c r="A8" s="3" t="inlineStr">
        <is>
          <t>Weight of equity</t>
        </is>
      </c>
      <c r="B8" s="18">
        <f>WACC!$B$6/(WACC!$B$6+WACC!$B$7)</f>
        <v/>
      </c>
    </row>
    <row r="9">
      <c r="A9" s="3" t="inlineStr">
        <is>
          <t>Weight of debt</t>
        </is>
      </c>
      <c r="B9" s="18">
        <f>1-WACC!$B$8</f>
        <v/>
      </c>
    </row>
    <row r="10">
      <c r="A10" s="19" t="inlineStr">
        <is>
          <t>WACC</t>
        </is>
      </c>
      <c r="B10" s="20">
        <f>WACC!$B$8*WACC!$B$4+WACC!$B$9*WACC!$B$5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15" t="inlineStr">
        <is>
          <t>Line item</t>
        </is>
      </c>
      <c r="B4" s="16" t="inlineStr">
        <is>
          <t>FY2022A</t>
        </is>
      </c>
      <c r="C4" s="16" t="inlineStr">
        <is>
          <t>FY2023A</t>
        </is>
      </c>
      <c r="D4" s="16" t="inlineStr">
        <is>
          <t>FY2024A</t>
        </is>
      </c>
      <c r="E4" s="16" t="inlineStr">
        <is>
          <t>FY2025A</t>
        </is>
      </c>
      <c r="F4" s="16" t="inlineStr">
        <is>
          <t>FY2026E</t>
        </is>
      </c>
      <c r="G4" s="16" t="inlineStr">
        <is>
          <t>FY2027E</t>
        </is>
      </c>
      <c r="H4" s="16" t="inlineStr">
        <is>
          <t>FY2028E</t>
        </is>
      </c>
      <c r="I4" s="16" t="inlineStr">
        <is>
          <t>FY2029E</t>
        </is>
      </c>
      <c r="J4" s="16" t="inlineStr">
        <is>
          <t>FY2030E</t>
        </is>
      </c>
    </row>
    <row r="5">
      <c r="A5" s="3" t="inlineStr">
        <is>
          <t>Revenue</t>
        </is>
      </c>
      <c r="B5" s="21" t="n">
        <v>70174.20000000001</v>
      </c>
      <c r="C5" s="21" t="n">
        <v>75086.39400000001</v>
      </c>
      <c r="D5" s="21" t="n">
        <v>81093.30552000001</v>
      </c>
      <c r="E5" s="21" t="n">
        <v>85958.90385120003</v>
      </c>
      <c r="F5" s="10">
        <f>E5*(1+Assumptions!B$26)</f>
        <v/>
      </c>
      <c r="G5" s="10">
        <f>F5*(1+Assumptions!C$26)</f>
        <v/>
      </c>
      <c r="H5" s="10">
        <f>G5*(1+Assumptions!D$26)</f>
        <v/>
      </c>
      <c r="I5" s="10">
        <f>H5*(1+Assumptions!E$26)</f>
        <v/>
      </c>
      <c r="J5" s="10">
        <f>I5*(1+Assumptions!F$26)</f>
        <v/>
      </c>
    </row>
    <row r="6">
      <c r="A6" s="3" t="inlineStr">
        <is>
          <t xml:space="preserve">  growth %</t>
        </is>
      </c>
      <c r="C6" s="22">
        <f>C5/B5-1</f>
        <v/>
      </c>
      <c r="D6" s="22">
        <f>D5/C5-1</f>
        <v/>
      </c>
      <c r="E6" s="22">
        <f>E5/D5-1</f>
        <v/>
      </c>
      <c r="F6" s="18">
        <f>F5/E5-1</f>
        <v/>
      </c>
      <c r="G6" s="18">
        <f>G5/F5-1</f>
        <v/>
      </c>
      <c r="H6" s="18">
        <f>H5/G5-1</f>
        <v/>
      </c>
      <c r="I6" s="18">
        <f>I5/H5-1</f>
        <v/>
      </c>
      <c r="J6" s="18">
        <f>J5/I5-1</f>
        <v/>
      </c>
    </row>
    <row r="7">
      <c r="A7" s="3" t="inlineStr">
        <is>
          <t>EBIT</t>
        </is>
      </c>
      <c r="B7" s="21" t="n">
        <v>18947.034</v>
      </c>
      <c r="C7" s="21" t="n">
        <v>20648.75835000001</v>
      </c>
      <c r="D7" s="21" t="n">
        <v>22706.12554560001</v>
      </c>
      <c r="E7" s="21" t="n">
        <v>24498.28759759201</v>
      </c>
      <c r="F7" s="10">
        <f>F5*Assumptions!B$27</f>
        <v/>
      </c>
      <c r="G7" s="10">
        <f>G5*Assumptions!C$27</f>
        <v/>
      </c>
      <c r="H7" s="10">
        <f>H5*Assumptions!D$27</f>
        <v/>
      </c>
      <c r="I7" s="10">
        <f>I5*Assumptions!E$27</f>
        <v/>
      </c>
      <c r="J7" s="10">
        <f>J5*Assumptions!F$27</f>
        <v/>
      </c>
    </row>
    <row r="8">
      <c r="A8" s="3" t="inlineStr">
        <is>
          <t xml:space="preserve">  EBIT margin %</t>
        </is>
      </c>
      <c r="B8" s="22">
        <f>B7/B5</f>
        <v/>
      </c>
      <c r="C8" s="22">
        <f>C7/C5</f>
        <v/>
      </c>
      <c r="D8" s="22">
        <f>D7/D5</f>
        <v/>
      </c>
      <c r="E8" s="22">
        <f>E7/E5</f>
        <v/>
      </c>
      <c r="F8" s="18">
        <f>F7/F5</f>
        <v/>
      </c>
      <c r="G8" s="18">
        <f>G7/G5</f>
        <v/>
      </c>
      <c r="H8" s="18">
        <f>H7/H5</f>
        <v/>
      </c>
      <c r="I8" s="18">
        <f>I7/I5</f>
        <v/>
      </c>
      <c r="J8" s="18">
        <f>J7/J5</f>
        <v/>
      </c>
    </row>
    <row r="9">
      <c r="A9" s="3" t="inlineStr">
        <is>
          <t>D&amp;A</t>
        </is>
      </c>
      <c r="B9" s="21" t="n">
        <v>3649.0584</v>
      </c>
      <c r="C9" s="21" t="n">
        <v>3904.492488</v>
      </c>
      <c r="D9" s="21" t="n">
        <v>4216.85188704</v>
      </c>
      <c r="E9" s="21" t="n">
        <v>4469.863000262401</v>
      </c>
      <c r="F9" s="10">
        <f>F5*Assumptions!B$28</f>
        <v/>
      </c>
      <c r="G9" s="10">
        <f>G5*Assumptions!C$28</f>
        <v/>
      </c>
      <c r="H9" s="10">
        <f>H5*Assumptions!D$28</f>
        <v/>
      </c>
      <c r="I9" s="10">
        <f>I5*Assumptions!E$28</f>
        <v/>
      </c>
      <c r="J9" s="10">
        <f>J5*Assumptions!F$28</f>
        <v/>
      </c>
    </row>
    <row r="10">
      <c r="A10" s="3" t="inlineStr">
        <is>
          <t>EBITDA</t>
        </is>
      </c>
      <c r="B10" s="23">
        <f>B7+B9</f>
        <v/>
      </c>
      <c r="C10" s="23">
        <f>C7+C9</f>
        <v/>
      </c>
      <c r="D10" s="23">
        <f>D7+D9</f>
        <v/>
      </c>
      <c r="E10" s="23">
        <f>E7+E9</f>
        <v/>
      </c>
      <c r="F10" s="10">
        <f>F7+F9</f>
        <v/>
      </c>
      <c r="G10" s="10">
        <f>G7+G9</f>
        <v/>
      </c>
      <c r="H10" s="10">
        <f>H7+H9</f>
        <v/>
      </c>
      <c r="I10" s="10">
        <f>I7+I9</f>
        <v/>
      </c>
      <c r="J10" s="10">
        <f>J7+J9</f>
        <v/>
      </c>
    </row>
    <row r="11">
      <c r="A11" s="3" t="inlineStr">
        <is>
          <t>NOPAT (EBIT×(1−t))</t>
        </is>
      </c>
      <c r="B11" s="24">
        <f>B7*(1-Assumptions!$B$19)</f>
        <v/>
      </c>
      <c r="C11" s="24">
        <f>C7*(1-Assumptions!$B$19)</f>
        <v/>
      </c>
      <c r="D11" s="24">
        <f>D7*(1-Assumptions!$B$19)</f>
        <v/>
      </c>
      <c r="E11" s="24">
        <f>E7*(1-Assumptions!$B$19)</f>
        <v/>
      </c>
      <c r="F11" s="17">
        <f>F7*(1-Assumptions!$B$19)</f>
        <v/>
      </c>
      <c r="G11" s="17">
        <f>G7*(1-Assumptions!$B$19)</f>
        <v/>
      </c>
      <c r="H11" s="17">
        <f>H7*(1-Assumptions!$B$19)</f>
        <v/>
      </c>
      <c r="I11" s="17">
        <f>I7*(1-Assumptions!$B$19)</f>
        <v/>
      </c>
      <c r="J11" s="17">
        <f>J7*(1-Assumptions!$B$19)</f>
        <v/>
      </c>
    </row>
    <row r="12">
      <c r="A12" s="3" t="inlineStr">
        <is>
          <t>Capex</t>
        </is>
      </c>
      <c r="B12" s="21" t="n">
        <v>3368.361600000001</v>
      </c>
      <c r="C12" s="21" t="n">
        <v>3604.146912000001</v>
      </c>
      <c r="D12" s="21" t="n">
        <v>3892.478664960001</v>
      </c>
      <c r="E12" s="21" t="n">
        <v>4126.027384857602</v>
      </c>
      <c r="F12" s="10">
        <f>F5*Assumptions!B$29</f>
        <v/>
      </c>
      <c r="G12" s="10">
        <f>G5*Assumptions!C$29</f>
        <v/>
      </c>
      <c r="H12" s="10">
        <f>H5*Assumptions!D$29</f>
        <v/>
      </c>
      <c r="I12" s="10">
        <f>I5*Assumptions!E$29</f>
        <v/>
      </c>
      <c r="J12" s="10">
        <f>J5*Assumptions!F$29</f>
        <v/>
      </c>
    </row>
    <row r="13">
      <c r="A13" s="3" t="inlineStr">
        <is>
          <t>Δ Net working capital</t>
        </is>
      </c>
      <c r="B13" s="21" t="n">
        <v>842.0904000000003</v>
      </c>
      <c r="C13" s="21" t="n">
        <v>901.0367280000003</v>
      </c>
      <c r="D13" s="21" t="n">
        <v>973.1196662400002</v>
      </c>
      <c r="E13" s="21" t="n">
        <v>1031.5068462144</v>
      </c>
      <c r="F13" s="10">
        <f>(F5-E5)*Assumptions!$B$30</f>
        <v/>
      </c>
      <c r="G13" s="10">
        <f>(G5-F5)*Assumptions!$B$30</f>
        <v/>
      </c>
      <c r="H13" s="10">
        <f>(H5-G5)*Assumptions!$B$30</f>
        <v/>
      </c>
      <c r="I13" s="10">
        <f>(I5-H5)*Assumptions!$B$30</f>
        <v/>
      </c>
      <c r="J13" s="10">
        <f>(J5-I5)*Assumptions!$B$30</f>
        <v/>
      </c>
    </row>
    <row r="14">
      <c r="A14" s="19" t="inlineStr">
        <is>
          <t>FCFF</t>
        </is>
      </c>
      <c r="B14" s="25">
        <f>B11+B9-B12-B13</f>
        <v/>
      </c>
      <c r="C14" s="25">
        <f>C11+C9-C12-C13</f>
        <v/>
      </c>
      <c r="D14" s="25">
        <f>D11+D9-D12-D13</f>
        <v/>
      </c>
      <c r="E14" s="25">
        <f>E11+E9-E12-E13</f>
        <v/>
      </c>
      <c r="F14" s="26">
        <f>F11+F9-F12-F13</f>
        <v/>
      </c>
      <c r="G14" s="26">
        <f>G11+G9-G12-G13</f>
        <v/>
      </c>
      <c r="H14" s="26">
        <f>H11+H9-H12-H13</f>
        <v/>
      </c>
      <c r="I14" s="26">
        <f>I11+I9-I12-I13</f>
        <v/>
      </c>
      <c r="J14" s="26">
        <f>J11+J9-J12-J13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15" t="inlineStr">
        <is>
          <t>Year</t>
        </is>
      </c>
      <c r="B4" s="16" t="inlineStr">
        <is>
          <t>FY2026E</t>
        </is>
      </c>
      <c r="C4" s="16" t="inlineStr">
        <is>
          <t>FY2027E</t>
        </is>
      </c>
      <c r="D4" s="16" t="inlineStr">
        <is>
          <t>FY2028E</t>
        </is>
      </c>
      <c r="E4" s="16" t="inlineStr">
        <is>
          <t>FY2029E</t>
        </is>
      </c>
      <c r="F4" s="16" t="inlineStr">
        <is>
          <t>FY2030E</t>
        </is>
      </c>
    </row>
    <row r="5">
      <c r="A5" s="3" t="inlineStr">
        <is>
          <t>FCFF (from Model)</t>
        </is>
      </c>
      <c r="B5" s="17">
        <f>Model!F14</f>
        <v/>
      </c>
      <c r="C5" s="17">
        <f>Model!G14</f>
        <v/>
      </c>
      <c r="D5" s="17">
        <f>Model!H14</f>
        <v/>
      </c>
      <c r="E5" s="17">
        <f>Model!I14</f>
        <v/>
      </c>
      <c r="F5" s="17">
        <f>Model!J14</f>
        <v/>
      </c>
    </row>
    <row r="6">
      <c r="A6" s="3" t="inlineStr">
        <is>
          <t>Period (mid-year, t−0.5)</t>
        </is>
      </c>
      <c r="B6" s="27" t="n">
        <v>0.5</v>
      </c>
      <c r="C6" s="27" t="n">
        <v>1.5</v>
      </c>
      <c r="D6" s="27" t="n">
        <v>2.5</v>
      </c>
      <c r="E6" s="27" t="n">
        <v>3.5</v>
      </c>
      <c r="F6" s="27" t="n">
        <v>4.5</v>
      </c>
    </row>
    <row r="7">
      <c r="A7" s="3" t="inlineStr">
        <is>
          <t>Discount factor</t>
        </is>
      </c>
      <c r="B7" s="28">
        <f>1/(1+WACC!$B$10)^B6</f>
        <v/>
      </c>
      <c r="C7" s="28">
        <f>1/(1+WACC!$B$10)^C6</f>
        <v/>
      </c>
      <c r="D7" s="28">
        <f>1/(1+WACC!$B$10)^D6</f>
        <v/>
      </c>
      <c r="E7" s="28">
        <f>1/(1+WACC!$B$10)^E6</f>
        <v/>
      </c>
      <c r="F7" s="28">
        <f>1/(1+WACC!$B$10)^F6</f>
        <v/>
      </c>
    </row>
    <row r="8">
      <c r="A8" s="3" t="inlineStr">
        <is>
          <t>PV of FCFF</t>
        </is>
      </c>
      <c r="B8" s="10">
        <f>B5*B7</f>
        <v/>
      </c>
      <c r="C8" s="10">
        <f>C5*C7</f>
        <v/>
      </c>
      <c r="D8" s="10">
        <f>D5*D7</f>
        <v/>
      </c>
      <c r="E8" s="10">
        <f>E5*E7</f>
        <v/>
      </c>
      <c r="F8" s="10">
        <f>F5*F7</f>
        <v/>
      </c>
    </row>
    <row r="10">
      <c r="A10" s="3" t="inlineStr">
        <is>
          <t>PV of explicit FCFF</t>
        </is>
      </c>
      <c r="B10" s="10">
        <f>SUM(B8:F8)</f>
        <v/>
      </c>
    </row>
    <row r="11">
      <c r="A11" s="3" t="inlineStr">
        <is>
          <t>Terminal NOPAT (FYn)</t>
        </is>
      </c>
      <c r="B11" s="17">
        <f>Model!J11</f>
        <v/>
      </c>
    </row>
    <row r="12">
      <c r="A12" s="3" t="inlineStr">
        <is>
          <t>Invested capital (mm)</t>
        </is>
      </c>
      <c r="B12" s="9" t="n">
        <v>37500</v>
      </c>
    </row>
    <row r="13">
      <c r="A13" s="3" t="inlineStr">
        <is>
          <t>Terminal invested capital (scaled w/ revenue)</t>
        </is>
      </c>
      <c r="B13" s="17">
        <f>$B$12*Model!J5/Model!E5</f>
        <v/>
      </c>
    </row>
    <row r="14">
      <c r="A14" s="3" t="inlineStr">
        <is>
          <t>Terminal ROIC</t>
        </is>
      </c>
      <c r="B14" s="18">
        <f>MAX($B$11/$B$13,WACC!$B$10)</f>
        <v/>
      </c>
    </row>
    <row r="15">
      <c r="A15" s="3" t="inlineStr">
        <is>
          <t>Terminal reinvestment rate (g/ROIC)</t>
        </is>
      </c>
      <c r="B15" s="29">
        <f>Assumptions!$B$22/$B$14</f>
        <v/>
      </c>
    </row>
    <row r="16">
      <c r="A16" s="3" t="inlineStr">
        <is>
          <t>Terminal value (Gordon)</t>
        </is>
      </c>
      <c r="B16" s="10">
        <f>$B$11*(1+Assumptions!$B$22)*(1-$B$15)/(WACC!$B$10-Assumptions!$B$22)</f>
        <v/>
      </c>
    </row>
    <row r="17">
      <c r="A17" s="3" t="inlineStr">
        <is>
          <t>PV of terminal value</t>
        </is>
      </c>
      <c r="B17" s="10">
        <f>$B$16/(1+WACC!$B$10)^(5-0.5)</f>
        <v/>
      </c>
    </row>
    <row r="18">
      <c r="A18" s="3" t="inlineStr">
        <is>
          <t>TV as % of EV</t>
        </is>
      </c>
      <c r="B18" s="18">
        <f>$B$17/($B$10+$B$17)</f>
        <v/>
      </c>
    </row>
    <row r="20">
      <c r="A20" s="19" t="inlineStr">
        <is>
          <t>Enterprise value</t>
        </is>
      </c>
      <c r="B20" s="26">
        <f>$B$10+$B$17</f>
        <v/>
      </c>
    </row>
    <row r="21">
      <c r="A21" s="3" t="inlineStr">
        <is>
          <t>(−) Net debt</t>
        </is>
      </c>
      <c r="B21" s="17">
        <f>-Assumptions!$B$10</f>
        <v/>
      </c>
    </row>
    <row r="22">
      <c r="A22" s="3" t="inlineStr">
        <is>
          <t>(−) Minority interest</t>
        </is>
      </c>
      <c r="B22" s="17">
        <f>-Assumptions!$B$9</f>
        <v/>
      </c>
    </row>
    <row r="23">
      <c r="A23" s="19" t="inlineStr">
        <is>
          <t>Equity value</t>
        </is>
      </c>
      <c r="B23" s="26">
        <f>$B$20-Assumptions!$B$10-Assumptions!$B$9</f>
        <v/>
      </c>
    </row>
    <row r="24">
      <c r="A24" s="19" t="inlineStr">
        <is>
          <t>Value per share</t>
        </is>
      </c>
      <c r="B24" s="30">
        <f>$B$23/Assumptions!$B$6</f>
        <v/>
      </c>
    </row>
    <row r="25">
      <c r="A25" s="19" t="inlineStr">
        <is>
          <t>Upside vs price</t>
        </is>
      </c>
      <c r="B25" s="31">
        <f>$B$24/Assumptions!$B$5-1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9" t="inlineStr">
        <is>
          <t>WACC \ g</t>
        </is>
      </c>
      <c r="B4" s="14" t="n">
        <v>0.015</v>
      </c>
      <c r="C4" s="14" t="n">
        <v>0.02</v>
      </c>
      <c r="D4" s="14" t="n">
        <v>0.025</v>
      </c>
      <c r="E4" s="14" t="n">
        <v>0.03</v>
      </c>
      <c r="F4" s="14" t="n">
        <v>0.035</v>
      </c>
    </row>
    <row r="5">
      <c r="A5" s="12" t="n">
        <v>0.07724048226164079</v>
      </c>
      <c r="B5" s="32">
        <f>(SUMPRODUCT(DCF!$B$5:$F$5,1/(1+$A$5)^DCF!$B$6:$F$6)+DCF!$B$11*(1+B$4)*(1-B$4/DCF!$B$14)/($A$5-B$4)/(1+$A$5)^(5-0.5)-Assumptions!$B$10-Assumptions!$B$9)/Assumptions!$B$6</f>
        <v/>
      </c>
      <c r="C5" s="32">
        <f>(SUMPRODUCT(DCF!$B$5:$F$5,1/(1+$A$5)^DCF!$B$6:$F$6)+DCF!$B$11*(1+C$4)*(1-C$4/DCF!$B$14)/($A$5-C$4)/(1+$A$5)^(5-0.5)-Assumptions!$B$10-Assumptions!$B$9)/Assumptions!$B$6</f>
        <v/>
      </c>
      <c r="D5" s="32">
        <f>(SUMPRODUCT(DCF!$B$5:$F$5,1/(1+$A$5)^DCF!$B$6:$F$6)+DCF!$B$11*(1+D$4)*(1-D$4/DCF!$B$14)/($A$5-D$4)/(1+$A$5)^(5-0.5)-Assumptions!$B$10-Assumptions!$B$9)/Assumptions!$B$6</f>
        <v/>
      </c>
      <c r="E5" s="32">
        <f>(SUMPRODUCT(DCF!$B$5:$F$5,1/(1+$A$5)^DCF!$B$6:$F$6)+DCF!$B$11*(1+E$4)*(1-E$4/DCF!$B$14)/($A$5-E$4)/(1+$A$5)^(5-0.5)-Assumptions!$B$10-Assumptions!$B$9)/Assumptions!$B$6</f>
        <v/>
      </c>
      <c r="F5" s="32">
        <f>(SUMPRODUCT(DCF!$B$5:$F$5,1/(1+$A$5)^DCF!$B$6:$F$6)+DCF!$B$11*(1+F$4)*(1-F$4/DCF!$B$14)/($A$5-F$4)/(1+$A$5)^(5-0.5)-Assumptions!$B$10-Assumptions!$B$9)/Assumptions!$B$6</f>
        <v/>
      </c>
    </row>
    <row r="6">
      <c r="A6" s="12" t="n">
        <v>0.0847404822616408</v>
      </c>
      <c r="B6" s="32">
        <f>(SUMPRODUCT(DCF!$B$5:$F$5,1/(1+$A$6)^DCF!$B$6:$F$6)+DCF!$B$11*(1+B$4)*(1-B$4/DCF!$B$14)/($A$6-B$4)/(1+$A$6)^(5-0.5)-Assumptions!$B$10-Assumptions!$B$9)/Assumptions!$B$6</f>
        <v/>
      </c>
      <c r="C6" s="32">
        <f>(SUMPRODUCT(DCF!$B$5:$F$5,1/(1+$A$6)^DCF!$B$6:$F$6)+DCF!$B$11*(1+C$4)*(1-C$4/DCF!$B$14)/($A$6-C$4)/(1+$A$6)^(5-0.5)-Assumptions!$B$10-Assumptions!$B$9)/Assumptions!$B$6</f>
        <v/>
      </c>
      <c r="D6" s="32">
        <f>(SUMPRODUCT(DCF!$B$5:$F$5,1/(1+$A$6)^DCF!$B$6:$F$6)+DCF!$B$11*(1+D$4)*(1-D$4/DCF!$B$14)/($A$6-D$4)/(1+$A$6)^(5-0.5)-Assumptions!$B$10-Assumptions!$B$9)/Assumptions!$B$6</f>
        <v/>
      </c>
      <c r="E6" s="32">
        <f>(SUMPRODUCT(DCF!$B$5:$F$5,1/(1+$A$6)^DCF!$B$6:$F$6)+DCF!$B$11*(1+E$4)*(1-E$4/DCF!$B$14)/($A$6-E$4)/(1+$A$6)^(5-0.5)-Assumptions!$B$10-Assumptions!$B$9)/Assumptions!$B$6</f>
        <v/>
      </c>
      <c r="F6" s="32">
        <f>(SUMPRODUCT(DCF!$B$5:$F$5,1/(1+$A$6)^DCF!$B$6:$F$6)+DCF!$B$11*(1+F$4)*(1-F$4/DCF!$B$14)/($A$6-F$4)/(1+$A$6)^(5-0.5)-Assumptions!$B$10-Assumptions!$B$9)/Assumptions!$B$6</f>
        <v/>
      </c>
    </row>
    <row r="7">
      <c r="A7" s="12" t="n">
        <v>0.09224048226164079</v>
      </c>
      <c r="B7" s="32">
        <f>(SUMPRODUCT(DCF!$B$5:$F$5,1/(1+$A$7)^DCF!$B$6:$F$6)+DCF!$B$11*(1+B$4)*(1-B$4/DCF!$B$14)/($A$7-B$4)/(1+$A$7)^(5-0.5)-Assumptions!$B$10-Assumptions!$B$9)/Assumptions!$B$6</f>
        <v/>
      </c>
      <c r="C7" s="32">
        <f>(SUMPRODUCT(DCF!$B$5:$F$5,1/(1+$A$7)^DCF!$B$6:$F$6)+DCF!$B$11*(1+C$4)*(1-C$4/DCF!$B$14)/($A$7-C$4)/(1+$A$7)^(5-0.5)-Assumptions!$B$10-Assumptions!$B$9)/Assumptions!$B$6</f>
        <v/>
      </c>
      <c r="D7" s="32">
        <f>(SUMPRODUCT(DCF!$B$5:$F$5,1/(1+$A$7)^DCF!$B$6:$F$6)+DCF!$B$11*(1+D$4)*(1-D$4/DCF!$B$14)/($A$7-D$4)/(1+$A$7)^(5-0.5)-Assumptions!$B$10-Assumptions!$B$9)/Assumptions!$B$6</f>
        <v/>
      </c>
      <c r="E7" s="32">
        <f>(SUMPRODUCT(DCF!$B$5:$F$5,1/(1+$A$7)^DCF!$B$6:$F$6)+DCF!$B$11*(1+E$4)*(1-E$4/DCF!$B$14)/($A$7-E$4)/(1+$A$7)^(5-0.5)-Assumptions!$B$10-Assumptions!$B$9)/Assumptions!$B$6</f>
        <v/>
      </c>
      <c r="F7" s="32">
        <f>(SUMPRODUCT(DCF!$B$5:$F$5,1/(1+$A$7)^DCF!$B$6:$F$6)+DCF!$B$11*(1+F$4)*(1-F$4/DCF!$B$14)/($A$7-F$4)/(1+$A$7)^(5-0.5)-Assumptions!$B$10-Assumptions!$B$9)/Assumptions!$B$6</f>
        <v/>
      </c>
    </row>
    <row r="8">
      <c r="A8" s="12" t="n">
        <v>0.09974048226164078</v>
      </c>
      <c r="B8" s="32">
        <f>(SUMPRODUCT(DCF!$B$5:$F$5,1/(1+$A$8)^DCF!$B$6:$F$6)+DCF!$B$11*(1+B$4)*(1-B$4/DCF!$B$14)/($A$8-B$4)/(1+$A$8)^(5-0.5)-Assumptions!$B$10-Assumptions!$B$9)/Assumptions!$B$6</f>
        <v/>
      </c>
      <c r="C8" s="32">
        <f>(SUMPRODUCT(DCF!$B$5:$F$5,1/(1+$A$8)^DCF!$B$6:$F$6)+DCF!$B$11*(1+C$4)*(1-C$4/DCF!$B$14)/($A$8-C$4)/(1+$A$8)^(5-0.5)-Assumptions!$B$10-Assumptions!$B$9)/Assumptions!$B$6</f>
        <v/>
      </c>
      <c r="D8" s="32">
        <f>(SUMPRODUCT(DCF!$B$5:$F$5,1/(1+$A$8)^DCF!$B$6:$F$6)+DCF!$B$11*(1+D$4)*(1-D$4/DCF!$B$14)/($A$8-D$4)/(1+$A$8)^(5-0.5)-Assumptions!$B$10-Assumptions!$B$9)/Assumptions!$B$6</f>
        <v/>
      </c>
      <c r="E8" s="32">
        <f>(SUMPRODUCT(DCF!$B$5:$F$5,1/(1+$A$8)^DCF!$B$6:$F$6)+DCF!$B$11*(1+E$4)*(1-E$4/DCF!$B$14)/($A$8-E$4)/(1+$A$8)^(5-0.5)-Assumptions!$B$10-Assumptions!$B$9)/Assumptions!$B$6</f>
        <v/>
      </c>
      <c r="F8" s="32">
        <f>(SUMPRODUCT(DCF!$B$5:$F$5,1/(1+$A$8)^DCF!$B$6:$F$6)+DCF!$B$11*(1+F$4)*(1-F$4/DCF!$B$14)/($A$8-F$4)/(1+$A$8)^(5-0.5)-Assumptions!$B$10-Assumptions!$B$9)/Assumptions!$B$6</f>
        <v/>
      </c>
    </row>
    <row r="9">
      <c r="A9" s="12" t="n">
        <v>0.1072404822616408</v>
      </c>
      <c r="B9" s="32">
        <f>(SUMPRODUCT(DCF!$B$5:$F$5,1/(1+$A$9)^DCF!$B$6:$F$6)+DCF!$B$11*(1+B$4)*(1-B$4/DCF!$B$14)/($A$9-B$4)/(1+$A$9)^(5-0.5)-Assumptions!$B$10-Assumptions!$B$9)/Assumptions!$B$6</f>
        <v/>
      </c>
      <c r="C9" s="32">
        <f>(SUMPRODUCT(DCF!$B$5:$F$5,1/(1+$A$9)^DCF!$B$6:$F$6)+DCF!$B$11*(1+C$4)*(1-C$4/DCF!$B$14)/($A$9-C$4)/(1+$A$9)^(5-0.5)-Assumptions!$B$10-Assumptions!$B$9)/Assumptions!$B$6</f>
        <v/>
      </c>
      <c r="D9" s="32">
        <f>(SUMPRODUCT(DCF!$B$5:$F$5,1/(1+$A$9)^DCF!$B$6:$F$6)+DCF!$B$11*(1+D$4)*(1-D$4/DCF!$B$14)/($A$9-D$4)/(1+$A$9)^(5-0.5)-Assumptions!$B$10-Assumptions!$B$9)/Assumptions!$B$6</f>
        <v/>
      </c>
      <c r="E9" s="32">
        <f>(SUMPRODUCT(DCF!$B$5:$F$5,1/(1+$A$9)^DCF!$B$6:$F$6)+DCF!$B$11*(1+E$4)*(1-E$4/DCF!$B$14)/($A$9-E$4)/(1+$A$9)^(5-0.5)-Assumptions!$B$10-Assumptions!$B$9)/Assumptions!$B$6</f>
        <v/>
      </c>
      <c r="F9" s="32">
        <f>(SUMPRODUCT(DCF!$B$5:$F$5,1/(1+$A$9)^DCF!$B$6:$F$6)+DCF!$B$11*(1+F$4)*(1-F$4/DCF!$B$14)/($A$9-F$4)/(1+$A$9)^(5-0.5)-Assumptions!$B$10-Assumptions!$B$9)/Assumptions!$B$6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Multi-stage dividend discount</t>
        </is>
      </c>
    </row>
    <row r="2">
      <c r="A2" s="2" t="inlineStr">
        <is>
          <t>Dividends fade from the retention-implied growth to terminal g, at Ke.</t>
        </is>
      </c>
    </row>
    <row r="4">
      <c r="A4" s="3" t="inlineStr">
        <is>
          <t>Current DPS (USD)</t>
        </is>
      </c>
      <c r="B4" s="6" t="n">
        <v>2.4</v>
      </c>
    </row>
    <row r="5">
      <c r="A5" s="3" t="inlineStr">
        <is>
          <t>Near-term dividend growth</t>
        </is>
      </c>
      <c r="B5" s="33" t="n">
        <v>0.06</v>
      </c>
    </row>
    <row r="6">
      <c r="A6" s="3" t="inlineStr">
        <is>
          <t>Terminal growth</t>
        </is>
      </c>
      <c r="B6" s="29">
        <f>Assumptions!$B$22</f>
        <v/>
      </c>
    </row>
    <row r="7">
      <c r="A7" s="3" t="inlineStr">
        <is>
          <t>Cost of equity (Ke)</t>
        </is>
      </c>
      <c r="B7" s="7">
        <f>WACC!$B$4</f>
        <v/>
      </c>
    </row>
    <row r="9">
      <c r="A9" s="15" t="inlineStr">
        <is>
          <t>Year</t>
        </is>
      </c>
      <c r="B9" s="16" t="inlineStr">
        <is>
          <t>Y1</t>
        </is>
      </c>
      <c r="C9" s="16" t="inlineStr">
        <is>
          <t>Y2</t>
        </is>
      </c>
      <c r="D9" s="16" t="inlineStr">
        <is>
          <t>Y3</t>
        </is>
      </c>
      <c r="E9" s="16" t="inlineStr">
        <is>
          <t>Y4</t>
        </is>
      </c>
      <c r="F9" s="16" t="inlineStr">
        <is>
          <t>Y5</t>
        </is>
      </c>
      <c r="G9" s="16" t="inlineStr">
        <is>
          <t>Y6</t>
        </is>
      </c>
    </row>
    <row r="10">
      <c r="A10" s="3" t="inlineStr">
        <is>
          <t>Growth (fade)</t>
        </is>
      </c>
      <c r="B10" s="18">
        <f>$B$5+($B$6-$B$5)*0/5</f>
        <v/>
      </c>
      <c r="C10" s="18">
        <f>$B$5+($B$6-$B$5)*1/5</f>
        <v/>
      </c>
      <c r="D10" s="18">
        <f>$B$5+($B$6-$B$5)*2/5</f>
        <v/>
      </c>
      <c r="E10" s="18">
        <f>$B$5+($B$6-$B$5)*3/5</f>
        <v/>
      </c>
      <c r="F10" s="18">
        <f>$B$5+($B$6-$B$5)*4/5</f>
        <v/>
      </c>
      <c r="G10" s="18">
        <f>$B$5+($B$6-$B$5)*5/5</f>
        <v/>
      </c>
    </row>
    <row r="11">
      <c r="A11" s="3" t="inlineStr">
        <is>
          <t>DPS</t>
        </is>
      </c>
      <c r="B11" s="32">
        <f>$B$4*(1+B10)</f>
        <v/>
      </c>
      <c r="C11" s="32">
        <f>B11*(1+C10)</f>
        <v/>
      </c>
      <c r="D11" s="32">
        <f>C11*(1+D10)</f>
        <v/>
      </c>
      <c r="E11" s="32">
        <f>D11*(1+E10)</f>
        <v/>
      </c>
      <c r="F11" s="32">
        <f>E11*(1+F10)</f>
        <v/>
      </c>
      <c r="G11" s="32">
        <f>F11*(1+G10)</f>
        <v/>
      </c>
    </row>
    <row r="12">
      <c r="A12" s="3" t="inlineStr">
        <is>
          <t>PV of DPS</t>
        </is>
      </c>
      <c r="B12" s="32">
        <f>B11/(1+$B$7)^1</f>
        <v/>
      </c>
      <c r="C12" s="32">
        <f>C11/(1+$B$7)^2</f>
        <v/>
      </c>
      <c r="D12" s="32">
        <f>D11/(1+$B$7)^3</f>
        <v/>
      </c>
      <c r="E12" s="32">
        <f>E11/(1+$B$7)^4</f>
        <v/>
      </c>
      <c r="F12" s="32">
        <f>F11/(1+$B$7)^5</f>
        <v/>
      </c>
      <c r="G12" s="32">
        <f>G11/(1+$B$7)^6</f>
        <v/>
      </c>
    </row>
    <row r="14">
      <c r="A14" s="3" t="inlineStr">
        <is>
          <t>PV explicit dividends</t>
        </is>
      </c>
      <c r="B14" s="32">
        <f>SUM(B12:G12)</f>
        <v/>
      </c>
    </row>
    <row r="15">
      <c r="A15" s="3" t="inlineStr">
        <is>
          <t>PV terminal value</t>
        </is>
      </c>
      <c r="B15" s="32">
        <f>G11*(1+$B$6)/($B$7-$B$6)/(1+$B$7)^6</f>
        <v/>
      </c>
    </row>
    <row r="16">
      <c r="A16" s="19" t="inlineStr">
        <is>
          <t>Value per share</t>
        </is>
      </c>
      <c r="B16" s="34">
        <f>$B$14+$B$15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IS (reported)</t>
        </is>
      </c>
    </row>
    <row r="2">
      <c r="A2" s="2" t="inlineStr">
        <is>
          <t>As reported by DEMO (synthetic) (USDmm). Hardcoded actuals.</t>
        </is>
      </c>
    </row>
    <row r="4">
      <c r="A4" s="15" t="inlineStr">
        <is>
          <t>Line item</t>
        </is>
      </c>
      <c r="B4" s="16" t="inlineStr">
        <is>
          <t>FY2020</t>
        </is>
      </c>
      <c r="C4" s="16" t="inlineStr">
        <is>
          <t>FY2021</t>
        </is>
      </c>
      <c r="D4" s="16" t="inlineStr">
        <is>
          <t>FY2022</t>
        </is>
      </c>
      <c r="E4" s="16" t="inlineStr">
        <is>
          <t>FY2023</t>
        </is>
      </c>
      <c r="F4" s="16" t="inlineStr">
        <is>
          <t>FY2024</t>
        </is>
      </c>
      <c r="G4" s="16" t="inlineStr">
        <is>
          <t>FY2025</t>
        </is>
      </c>
    </row>
    <row r="5">
      <c r="A5" s="3" t="inlineStr">
        <is>
          <t>Revenue</t>
        </is>
      </c>
      <c r="B5" s="21" t="n">
        <v>58000</v>
      </c>
      <c r="C5" s="21" t="n">
        <v>64380.00000000001</v>
      </c>
      <c r="D5" s="21" t="n">
        <v>70174.20000000001</v>
      </c>
      <c r="E5" s="21" t="n">
        <v>75086.39400000001</v>
      </c>
      <c r="F5" s="21" t="n">
        <v>81093.30552000001</v>
      </c>
      <c r="G5" s="21" t="n">
        <v>85958.90385120003</v>
      </c>
    </row>
    <row r="6">
      <c r="A6" s="3" t="inlineStr">
        <is>
          <t>EBIT (operating income)</t>
        </is>
      </c>
      <c r="B6" s="21" t="n">
        <v>15080</v>
      </c>
      <c r="C6" s="21" t="n">
        <v>17060.7</v>
      </c>
      <c r="D6" s="21" t="n">
        <v>18947.034</v>
      </c>
      <c r="E6" s="21" t="n">
        <v>20648.75835000001</v>
      </c>
      <c r="F6" s="21" t="n">
        <v>22706.12554560001</v>
      </c>
      <c r="G6" s="21" t="n">
        <v>24498.28759759201</v>
      </c>
    </row>
    <row r="7">
      <c r="A7" s="3" t="inlineStr">
        <is>
          <t>EBITDA</t>
        </is>
      </c>
      <c r="B7" s="21" t="n">
        <v>18096</v>
      </c>
      <c r="C7" s="21" t="n">
        <v>20408.46</v>
      </c>
      <c r="D7" s="21" t="n">
        <v>22596.09240000001</v>
      </c>
      <c r="E7" s="21" t="n">
        <v>24553.25083800001</v>
      </c>
      <c r="F7" s="21" t="n">
        <v>26922.97743264001</v>
      </c>
      <c r="G7" s="21" t="n">
        <v>28968.15059785441</v>
      </c>
    </row>
    <row r="8">
      <c r="A8" s="3" t="inlineStr">
        <is>
          <t>D&amp;A</t>
        </is>
      </c>
      <c r="B8" s="21" t="n">
        <v>3016</v>
      </c>
      <c r="C8" s="21" t="n">
        <v>3347.760000000001</v>
      </c>
      <c r="D8" s="21" t="n">
        <v>3649.0584</v>
      </c>
      <c r="E8" s="21" t="n">
        <v>3904.492488</v>
      </c>
      <c r="F8" s="21" t="n">
        <v>4216.85188704</v>
      </c>
      <c r="G8" s="21" t="n">
        <v>4469.863000262401</v>
      </c>
    </row>
    <row r="9">
      <c r="A9" s="3" t="inlineStr">
        <is>
          <t>Interest expense</t>
        </is>
      </c>
      <c r="B9" s="21" t="n">
        <v>550</v>
      </c>
      <c r="C9" s="21" t="n">
        <v>550</v>
      </c>
      <c r="D9" s="21" t="n">
        <v>550</v>
      </c>
      <c r="E9" s="21" t="n">
        <v>550</v>
      </c>
      <c r="F9" s="21" t="n">
        <v>550</v>
      </c>
      <c r="G9" s="21" t="n">
        <v>550</v>
      </c>
    </row>
    <row r="10">
      <c r="A10" s="3" t="inlineStr">
        <is>
          <t>Pre-tax income</t>
        </is>
      </c>
      <c r="B10" s="21" t="n">
        <v>14730</v>
      </c>
      <c r="C10" s="21" t="n">
        <v>16710.7</v>
      </c>
      <c r="D10" s="21" t="n">
        <v>18597.034</v>
      </c>
      <c r="E10" s="21" t="n">
        <v>20298.75835000001</v>
      </c>
      <c r="F10" s="21" t="n">
        <v>22356.12554560001</v>
      </c>
      <c r="G10" s="21" t="n">
        <v>24148.28759759201</v>
      </c>
    </row>
    <row r="11">
      <c r="A11" s="3" t="inlineStr">
        <is>
          <t>Tax expense</t>
        </is>
      </c>
      <c r="B11" s="21" t="n">
        <v>2798.7</v>
      </c>
      <c r="C11" s="21" t="n">
        <v>3175.033000000001</v>
      </c>
      <c r="D11" s="21" t="n">
        <v>3533.436460000001</v>
      </c>
      <c r="E11" s="21" t="n">
        <v>3856.764086500001</v>
      </c>
      <c r="F11" s="21" t="n">
        <v>4247.663853664001</v>
      </c>
      <c r="G11" s="21" t="n">
        <v>4588.174643542482</v>
      </c>
    </row>
    <row r="12">
      <c r="A12" s="3" t="inlineStr">
        <is>
          <t>Net income</t>
        </is>
      </c>
      <c r="B12" s="21" t="n">
        <v>11931.3</v>
      </c>
      <c r="C12" s="21" t="n">
        <v>13535.667</v>
      </c>
      <c r="D12" s="21" t="n">
        <v>15063.59754</v>
      </c>
      <c r="E12" s="21" t="n">
        <v>16441.9942635</v>
      </c>
      <c r="F12" s="21" t="n">
        <v>18108.46169193601</v>
      </c>
      <c r="G12" s="21" t="n">
        <v>19560.11295404953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BS (reported)</t>
        </is>
      </c>
    </row>
    <row r="2">
      <c r="A2" s="2" t="inlineStr">
        <is>
          <t>As reported by DEMO (synthetic) (USDmm). Hardcoded actuals.</t>
        </is>
      </c>
    </row>
    <row r="4">
      <c r="A4" s="15" t="inlineStr">
        <is>
          <t>Line item</t>
        </is>
      </c>
      <c r="B4" s="16" t="inlineStr">
        <is>
          <t>FY2020</t>
        </is>
      </c>
      <c r="C4" s="16" t="inlineStr">
        <is>
          <t>FY2021</t>
        </is>
      </c>
      <c r="D4" s="16" t="inlineStr">
        <is>
          <t>FY2022</t>
        </is>
      </c>
      <c r="E4" s="16" t="inlineStr">
        <is>
          <t>FY2023</t>
        </is>
      </c>
      <c r="F4" s="16" t="inlineStr">
        <is>
          <t>FY2024</t>
        </is>
      </c>
      <c r="G4" s="16" t="inlineStr">
        <is>
          <t>FY2025</t>
        </is>
      </c>
    </row>
    <row r="5">
      <c r="A5" s="3" t="inlineStr">
        <is>
          <t>Total debt</t>
        </is>
      </c>
      <c r="B5" s="21" t="n">
        <v>12000</v>
      </c>
      <c r="C5" s="21" t="n">
        <v>12000</v>
      </c>
      <c r="D5" s="21" t="n">
        <v>12000</v>
      </c>
      <c r="E5" s="21" t="n">
        <v>12000</v>
      </c>
      <c r="F5" s="21" t="n">
        <v>12000</v>
      </c>
      <c r="G5" s="21" t="n">
        <v>12000</v>
      </c>
    </row>
    <row r="6">
      <c r="A6" s="3" t="inlineStr">
        <is>
          <t>Cash &amp; ST investments</t>
        </is>
      </c>
      <c r="B6" s="21" t="n">
        <v>9500</v>
      </c>
      <c r="C6" s="21" t="n">
        <v>10100</v>
      </c>
      <c r="D6" s="21" t="n">
        <v>10700</v>
      </c>
      <c r="E6" s="21" t="n">
        <v>11300</v>
      </c>
      <c r="F6" s="21" t="n">
        <v>11900</v>
      </c>
      <c r="G6" s="21" t="n">
        <v>12500</v>
      </c>
    </row>
    <row r="7">
      <c r="A7" s="3" t="inlineStr">
        <is>
          <t>Total equity</t>
        </is>
      </c>
      <c r="B7" s="21" t="n">
        <v>28000</v>
      </c>
      <c r="C7" s="21" t="n">
        <v>30000</v>
      </c>
      <c r="D7" s="21" t="n">
        <v>32000</v>
      </c>
      <c r="E7" s="21" t="n">
        <v>34000</v>
      </c>
      <c r="F7" s="21" t="n">
        <v>36000</v>
      </c>
      <c r="G7" s="21" t="n">
        <v>38000</v>
      </c>
    </row>
    <row r="8">
      <c r="A8" s="3" t="inlineStr">
        <is>
          <t>Minority interest</t>
        </is>
      </c>
      <c r="B8" s="21" t="n">
        <v>300</v>
      </c>
      <c r="C8" s="21" t="n">
        <v>300</v>
      </c>
      <c r="D8" s="21" t="n">
        <v>300</v>
      </c>
      <c r="E8" s="21" t="n">
        <v>300</v>
      </c>
      <c r="F8" s="21" t="n">
        <v>300</v>
      </c>
      <c r="G8" s="21" t="n">
        <v>300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CF (reported)</t>
        </is>
      </c>
    </row>
    <row r="2">
      <c r="A2" s="2" t="inlineStr">
        <is>
          <t>As reported by DEMO (synthetic) (USDmm). Hardcoded actuals.</t>
        </is>
      </c>
    </row>
    <row r="4">
      <c r="A4" s="15" t="inlineStr">
        <is>
          <t>Line item</t>
        </is>
      </c>
      <c r="B4" s="16" t="inlineStr">
        <is>
          <t>FY2020</t>
        </is>
      </c>
      <c r="C4" s="16" t="inlineStr">
        <is>
          <t>FY2021</t>
        </is>
      </c>
      <c r="D4" s="16" t="inlineStr">
        <is>
          <t>FY2022</t>
        </is>
      </c>
      <c r="E4" s="16" t="inlineStr">
        <is>
          <t>FY2023</t>
        </is>
      </c>
      <c r="F4" s="16" t="inlineStr">
        <is>
          <t>FY2024</t>
        </is>
      </c>
      <c r="G4" s="16" t="inlineStr">
        <is>
          <t>FY2025</t>
        </is>
      </c>
    </row>
    <row r="5">
      <c r="A5" s="3" t="inlineStr">
        <is>
          <t>Operating cash flow</t>
        </is>
      </c>
      <c r="B5" s="21" t="n">
        <v>14947.3</v>
      </c>
      <c r="C5" s="21" t="n">
        <v>16883.427</v>
      </c>
      <c r="D5" s="21" t="n">
        <v>18712.65594</v>
      </c>
      <c r="E5" s="21" t="n">
        <v>20346.48675150001</v>
      </c>
      <c r="F5" s="21" t="n">
        <v>22325.31357897601</v>
      </c>
      <c r="G5" s="21" t="n">
        <v>24029.97595431193</v>
      </c>
    </row>
    <row r="6">
      <c r="A6" s="3" t="inlineStr">
        <is>
          <t>Capex</t>
        </is>
      </c>
      <c r="B6" s="21" t="n">
        <v>2784</v>
      </c>
      <c r="C6" s="21" t="n">
        <v>3090.240000000001</v>
      </c>
      <c r="D6" s="21" t="n">
        <v>3368.361600000001</v>
      </c>
      <c r="E6" s="21" t="n">
        <v>3604.146912000001</v>
      </c>
      <c r="F6" s="21" t="n">
        <v>3892.478664960001</v>
      </c>
      <c r="G6" s="21" t="n">
        <v>4126.027384857602</v>
      </c>
    </row>
    <row r="7">
      <c r="A7" s="3" t="inlineStr">
        <is>
          <t>Change in NWC</t>
        </is>
      </c>
      <c r="B7" s="21" t="n">
        <v>696</v>
      </c>
      <c r="C7" s="21" t="n">
        <v>772.5600000000002</v>
      </c>
      <c r="D7" s="21" t="n">
        <v>842.0904000000003</v>
      </c>
      <c r="E7" s="21" t="n">
        <v>901.0367280000003</v>
      </c>
      <c r="F7" s="21" t="n">
        <v>973.1196662400002</v>
      </c>
      <c r="G7" s="21" t="n">
        <v>1031.5068462144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2026-07-04T16:33:40Z</dcterms:created>
  <dcterms:modified xmlns:dcterms="http://purl.org/dc/terms/" xmlns:xsi="http://www.w3.org/2001/XMLSchema-instance" xsi:type="dcterms:W3CDTF">2026-07-04T16:33:40Z</dcterms:modified>
</cp:coreProperties>
</file>