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AST SpaceMobile, Inc. (ASTS)</t>
        </is>
      </c>
    </row>
    <row r="2">
      <c r="A2" s="2" t="inlineStr">
        <is>
          <t>Technology · High-growth (EV/Sales + DCF) · generated 2026-10-16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36.49086845893341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ASTS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Forward EV/Sales</t>
        </is>
      </c>
      <c r="B5" s="2" t="inlineStr">
        <is>
          <t>relative</t>
        </is>
      </c>
      <c r="C5" s="6" t="n">
        <v>8.768851767944156</v>
      </c>
      <c r="D5" s="6" t="n">
        <v>6.197475032906861</v>
      </c>
      <c r="E5" s="6" t="n">
        <v>11.85450384998891</v>
      </c>
      <c r="F5" s="11" t="n">
        <v>0</v>
      </c>
      <c r="G5" s="2" t="inlineStr">
        <is>
          <t>excluded — implausible: 0.2x the current price</t>
        </is>
      </c>
    </row>
    <row r="6">
      <c r="A6" s="3" t="inlineStr">
        <is>
          <t>Price / Book</t>
        </is>
      </c>
      <c r="B6" s="2" t="inlineStr">
        <is>
          <t>relative</t>
        </is>
      </c>
      <c r="C6" s="6" t="n">
        <v>18.08144890292201</v>
      </c>
      <c r="D6" s="6" t="n">
        <v>13.5610866771915</v>
      </c>
      <c r="E6" s="6" t="n">
        <v>23.50588357379861</v>
      </c>
      <c r="F6" s="11" t="n">
        <v>1</v>
      </c>
      <c r="G6" s="2" t="inlineStr">
        <is>
          <t>ok</t>
        </is>
      </c>
    </row>
    <row r="8">
      <c r="A8" s="3" t="inlineStr">
        <is>
          <t>Weights sum</t>
        </is>
      </c>
      <c r="B8" s="12">
        <f>SUM(F5:F6)</f>
        <v/>
      </c>
    </row>
    <row r="9">
      <c r="A9" s="13" t="inlineStr">
        <is>
          <t>Blended fair value (today)</t>
        </is>
      </c>
      <c r="B9" s="14">
        <f>SUMPRODUCT(C5:C6,F5:F6)/SUM(F5:F6)</f>
        <v/>
      </c>
    </row>
    <row r="10">
      <c r="A10" s="3" t="inlineStr">
        <is>
          <t>Cost of equity (Ke)</t>
        </is>
      </c>
      <c r="B10" s="15" t="n">
        <v>0.1225687352835741</v>
      </c>
    </row>
    <row r="11">
      <c r="A11" s="3" t="inlineStr">
        <is>
          <t>Dividends per share (12m)</t>
        </is>
      </c>
      <c r="B11" s="6" t="n">
        <v>0</v>
      </c>
    </row>
    <row r="12">
      <c r="A12" s="3" t="inlineStr">
        <is>
          <t>Model 12-month target = FV×(1+Ke)−DPS</t>
        </is>
      </c>
      <c r="B12" s="16">
        <f>$B$9*(1+$B$10)-$B$11</f>
        <v/>
      </c>
    </row>
    <row r="13">
      <c r="A13" s="3" t="inlineStr">
        <is>
          <t>Street mean target</t>
        </is>
      </c>
      <c r="B13" s="6" t="n">
        <v>74.27500000000001</v>
      </c>
    </row>
    <row r="14">
      <c r="A14" s="3" t="inlineStr">
        <is>
          <t>Street weight in target</t>
        </is>
      </c>
      <c r="B14" s="11" t="n">
        <v>0.3</v>
      </c>
    </row>
    <row r="15">
      <c r="A15" s="13" t="inlineStr">
        <is>
          <t>Published 12-month target</t>
        </is>
      </c>
      <c r="B15" s="17">
        <f>(1-$B$14)*$B$12+$B$14*$B$13</f>
        <v/>
      </c>
    </row>
    <row r="16">
      <c r="A16" s="3" t="inlineStr">
        <is>
          <t>Current price</t>
        </is>
      </c>
      <c r="B16" s="6" t="n">
        <v>44.46</v>
      </c>
    </row>
    <row r="17">
      <c r="A17" s="3" t="inlineStr">
        <is>
          <t>Engine target (incl. plausibility band)</t>
        </is>
      </c>
      <c r="B17" s="6" t="n">
        <v>36.49086845893341</v>
      </c>
    </row>
    <row r="19">
      <c r="A19" s="8" t="inlineStr">
        <is>
          <t>Guardrails</t>
        </is>
      </c>
    </row>
    <row r="20">
      <c r="A20" s="2" t="inlineStr">
        <is>
          <t>Forward EV/Sales excluded (0.2x the current price is outside the 0.2x–5x plausibility band).</t>
        </is>
      </c>
    </row>
    <row r="21">
      <c r="A21" s="2" t="inlineStr">
        <is>
          <t>Target anchored 30% to the Street consensus ($74.28, 12 analysts); model-only target $20.30.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ASTS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167.49367</v>
      </c>
      <c r="C5" s="18" t="n">
        <v>195.0949312884979</v>
      </c>
      <c r="D5" s="19" t="n">
        <v>219.5230274914761</v>
      </c>
      <c r="E5" s="19" t="n">
        <v>240.7813332638952</v>
      </c>
      <c r="F5" s="19" t="n">
        <v>259.2008719486764</v>
      </c>
      <c r="G5" s="19" t="n">
        <v>275.2501156907357</v>
      </c>
      <c r="H5" s="19" t="n">
        <v>289.4160202722612</v>
      </c>
      <c r="I5" s="19" t="n">
        <v>302.1423388004646</v>
      </c>
      <c r="J5" s="19" t="n">
        <v>313.80526580062</v>
      </c>
      <c r="K5" s="19" t="n">
        <v>321.6503974456355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-0.5</v>
      </c>
      <c r="C7" s="11" t="n">
        <v>-0.4691428571428571</v>
      </c>
      <c r="D7" s="11" t="n">
        <v>-0.4382857142857143</v>
      </c>
      <c r="E7" s="11" t="n">
        <v>-0.4074285714285715</v>
      </c>
      <c r="F7" s="11" t="n">
        <v>-0.3765714285714286</v>
      </c>
      <c r="G7" s="11" t="n">
        <v>-0.3457142857142858</v>
      </c>
      <c r="H7" s="11" t="n">
        <v>-0.3148571428571429</v>
      </c>
      <c r="I7" s="11" t="n">
        <v>-0.284</v>
      </c>
      <c r="J7" s="11" t="n">
        <v>-0.284</v>
      </c>
      <c r="K7" s="11" t="n">
        <v>-0.284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-687.6716972742501</v>
      </c>
      <c r="C9" s="18" t="n">
        <v>-383.2026812232</v>
      </c>
      <c r="D9" s="19" t="n">
        <v>-132.2848069062641</v>
      </c>
      <c r="E9" s="19" t="n">
        <v>-134.1721946383756</v>
      </c>
      <c r="F9" s="19" t="n">
        <v>-133.678642636673</v>
      </c>
      <c r="G9" s="19" t="n">
        <v>-131.2288971387972</v>
      </c>
      <c r="H9" s="19" t="n">
        <v>-127.1957012400091</v>
      </c>
      <c r="I9" s="19" t="n">
        <v>-121.879424219332</v>
      </c>
      <c r="J9" s="19" t="n">
        <v>-125.1916954873761</v>
      </c>
      <c r="K9" s="19" t="n">
        <v>-127.4197128745605</v>
      </c>
    </row>
    <row r="10">
      <c r="A10" s="3" t="inlineStr">
        <is>
          <t>EPS</t>
        </is>
      </c>
      <c r="B10" s="16">
        <f>B9*1000000/299789305.0</f>
        <v/>
      </c>
      <c r="C10" s="16">
        <f>C9*1000000/299789305.0</f>
        <v/>
      </c>
      <c r="D10" s="16">
        <f>D9*1000000/299789305.0</f>
        <v/>
      </c>
      <c r="E10" s="16">
        <f>E9*1000000/299789305.0</f>
        <v/>
      </c>
      <c r="F10" s="16">
        <f>F9*1000000/299789305.0</f>
        <v/>
      </c>
      <c r="G10" s="16">
        <f>G9*1000000/299789305.0</f>
        <v/>
      </c>
      <c r="H10" s="16">
        <f>H9*1000000/299789305.0</f>
        <v/>
      </c>
      <c r="I10" s="16">
        <f>I9*1000000/299789305.0</f>
        <v/>
      </c>
      <c r="J10" s="16">
        <f>J9*1000000/299789305.0</f>
        <v/>
      </c>
      <c r="K10" s="16">
        <f>K9*1000000/299789305.0</f>
        <v/>
      </c>
    </row>
    <row r="12">
      <c r="A12" s="13" t="inlineStr">
        <is>
          <t>Levered FCF (mn)</t>
        </is>
      </c>
      <c r="B12" s="20" t="n">
        <v>-45.99178506772152</v>
      </c>
      <c r="C12" s="20" t="n">
        <v>-47.39468233870224</v>
      </c>
      <c r="D12" s="20" t="n">
        <v>-52.45301897671008</v>
      </c>
      <c r="E12" s="20" t="n">
        <v>-57.75403974420882</v>
      </c>
      <c r="F12" s="20" t="n">
        <v>-63.23601354724009</v>
      </c>
      <c r="G12" s="20" t="n">
        <v>-68.86532481269526</v>
      </c>
      <c r="H12" s="20" t="n">
        <v>-74.62966975609582</v>
      </c>
      <c r="I12" s="20" t="n">
        <v>-80.53132879957667</v>
      </c>
      <c r="J12" s="20" t="n">
        <v>-93.84401114253269</v>
      </c>
      <c r="K12" s="20" t="n">
        <v>-106.9175838954325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ASTS — Assumptions &amp; Drivers</t>
        </is>
      </c>
    </row>
    <row r="2">
      <c r="A2" s="2" t="inlineStr">
        <is>
          <t>Blue cells are inputs — change them and the whole model recalculates. Source: yfinance, retrieved 2026-10-16.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44.46</v>
      </c>
    </row>
    <row r="6">
      <c r="A6" s="3" t="inlineStr">
        <is>
          <t>Diluted shares (mn)</t>
        </is>
      </c>
      <c r="B6" s="18" t="n">
        <v>299.789305</v>
      </c>
    </row>
    <row r="7">
      <c r="A7" s="3" t="inlineStr">
        <is>
          <t>Total debt (USDmm)</t>
        </is>
      </c>
      <c r="B7" s="18" t="n">
        <v>2239.51</v>
      </c>
    </row>
    <row r="8">
      <c r="A8" s="3" t="inlineStr">
        <is>
          <t>Cash &amp; ST investments (USDmm)</t>
        </is>
      </c>
      <c r="B8" s="18" t="n">
        <v>2335.683</v>
      </c>
    </row>
    <row r="9">
      <c r="A9" s="3" t="inlineStr">
        <is>
          <t>Minority interest (USDmm)</t>
        </is>
      </c>
      <c r="B9" s="18" t="n">
        <v>550.85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1.73</v>
      </c>
    </row>
    <row r="18">
      <c r="A18" s="3" t="inlineStr">
        <is>
          <t>Pre-tax cost of debt</t>
        </is>
      </c>
      <c r="B18" s="15" t="n">
        <v>0.183</v>
      </c>
    </row>
    <row r="19">
      <c r="A19" s="3" t="inlineStr">
        <is>
          <t>Tax rate</t>
        </is>
      </c>
      <c r="B19" s="11" t="n">
        <v>0.25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1.361793479793564</v>
      </c>
      <c r="C26" s="11" t="n">
        <v>0.1647898770651929</v>
      </c>
      <c r="D26" s="11" t="n">
        <v>0.125211331948214</v>
      </c>
      <c r="E26" s="11" t="n">
        <v>0.09683861422348755</v>
      </c>
      <c r="F26" s="11" t="n">
        <v>0.07649903102992379</v>
      </c>
      <c r="G26" s="11" t="n">
        <v>0.06191817034179282</v>
      </c>
      <c r="H26" s="11" t="n">
        <v>0.05146557176180035</v>
      </c>
      <c r="I26" s="11" t="n">
        <v>0.04397240524636979</v>
      </c>
      <c r="J26" s="11" t="n">
        <v>0.03860077024113361</v>
      </c>
      <c r="K26" s="11" t="n">
        <v>0.025</v>
      </c>
    </row>
    <row r="27">
      <c r="A27" s="3" t="inlineStr">
        <is>
          <t>EBIT margin</t>
        </is>
      </c>
      <c r="B27" s="11" t="n">
        <v>-0.5</v>
      </c>
      <c r="C27" s="11" t="n">
        <v>-0.4691428571428571</v>
      </c>
      <c r="D27" s="11" t="n">
        <v>-0.4382857142857143</v>
      </c>
      <c r="E27" s="11" t="n">
        <v>-0.4074285714285715</v>
      </c>
      <c r="F27" s="11" t="n">
        <v>-0.3765714285714286</v>
      </c>
      <c r="G27" s="11" t="n">
        <v>-0.3457142857142858</v>
      </c>
      <c r="H27" s="11" t="n">
        <v>-0.3148571428571429</v>
      </c>
      <c r="I27" s="11" t="n">
        <v>-0.284</v>
      </c>
      <c r="J27" s="11" t="n">
        <v>-0.284</v>
      </c>
      <c r="K27" s="11" t="n">
        <v>-0.284</v>
      </c>
    </row>
    <row r="28">
      <c r="A28" s="3" t="inlineStr">
        <is>
          <t>D&amp;A % of revenue</t>
        </is>
      </c>
      <c r="B28" s="11" t="n">
        <v>0.3407594936708861</v>
      </c>
      <c r="C28" s="11" t="n">
        <v>0.3407594936708861</v>
      </c>
      <c r="D28" s="11" t="n">
        <v>0.3407594936708861</v>
      </c>
      <c r="E28" s="11" t="n">
        <v>0.3407594936708861</v>
      </c>
      <c r="F28" s="11" t="n">
        <v>0.3407594936708861</v>
      </c>
      <c r="G28" s="11" t="n">
        <v>0.3407594936708861</v>
      </c>
      <c r="H28" s="11" t="n">
        <v>0.3407594936708861</v>
      </c>
      <c r="I28" s="11" t="n">
        <v>0.3407594936708861</v>
      </c>
      <c r="J28" s="11" t="n">
        <v>0.3407594936708861</v>
      </c>
      <c r="K28" s="11" t="n">
        <v>0.3407594936708861</v>
      </c>
    </row>
    <row r="29">
      <c r="A29" s="3" t="inlineStr">
        <is>
          <t>Capex % of revenue</t>
        </is>
      </c>
      <c r="B29" s="11" t="n">
        <v>0.05</v>
      </c>
      <c r="C29" s="11" t="n">
        <v>0.08609282700421941</v>
      </c>
      <c r="D29" s="11" t="n">
        <v>0.1221856540084388</v>
      </c>
      <c r="E29" s="11" t="n">
        <v>0.1582784810126582</v>
      </c>
      <c r="F29" s="11" t="n">
        <v>0.1943713080168777</v>
      </c>
      <c r="G29" s="11" t="n">
        <v>0.2304641350210971</v>
      </c>
      <c r="H29" s="11" t="n">
        <v>0.2665569620253165</v>
      </c>
      <c r="I29" s="11" t="n">
        <v>0.3026497890295359</v>
      </c>
      <c r="J29" s="11" t="n">
        <v>0.3387426160337553</v>
      </c>
      <c r="K29" s="11" t="n">
        <v>0.3748354430379747</v>
      </c>
    </row>
    <row r="30">
      <c r="A30" s="3" t="inlineStr">
        <is>
          <t>ΔNWC % of Δrevenue</t>
        </is>
      </c>
      <c r="B30" s="11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13.825</v>
      </c>
      <c r="C5" s="25" t="n">
        <v>0</v>
      </c>
      <c r="D5" s="25" t="n">
        <v>4.418</v>
      </c>
      <c r="E5" s="25" t="n">
        <v>70.91800000000001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-145.764</v>
      </c>
      <c r="C7" s="25" t="n">
        <v>-222.367</v>
      </c>
      <c r="D7" s="25" t="n">
        <v>-242.762</v>
      </c>
      <c r="E7" s="25" t="n">
        <v>-287.713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4.711</v>
      </c>
      <c r="C9" s="25" t="n">
        <v>54.469</v>
      </c>
      <c r="D9" s="25" t="n">
        <v>63.34</v>
      </c>
      <c r="E9" s="25" t="n">
        <v>51.111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57.284</v>
      </c>
      <c r="C12" s="25" t="n">
        <v>118.807</v>
      </c>
      <c r="D12" s="25" t="n">
        <v>174.127</v>
      </c>
      <c r="E12" s="25" t="n">
        <v>1121.138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24.434</v>
      </c>
      <c r="C13" s="25" t="n">
        <v>-13.698</v>
      </c>
      <c r="D13" s="25" t="n">
        <v>-21.784</v>
      </c>
      <c r="E13" s="25" t="n">
        <v>-109.69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1745.302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0.1092512147107257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0.1167512147107257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0.1242512147107257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0.1317512147107257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0.1392512147107257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ASTS — IS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4.01394</v>
      </c>
      <c r="D5" s="25" t="n">
        <v>1.88706</v>
      </c>
      <c r="E5" s="25" t="n">
        <v>0</v>
      </c>
      <c r="F5" s="25" t="n">
        <v>-14.31234</v>
      </c>
    </row>
    <row r="6">
      <c r="A6" s="3" t="inlineStr">
        <is>
          <t>Tax Rate For Calcs</t>
        </is>
      </c>
      <c r="C6" s="25" t="n">
        <v>2.1e-07</v>
      </c>
      <c r="D6" s="25" t="n">
        <v>2.1e-07</v>
      </c>
      <c r="E6" s="25" t="n">
        <v>0</v>
      </c>
      <c r="F6" s="25" t="n">
        <v>2.1e-07</v>
      </c>
    </row>
    <row r="7">
      <c r="A7" s="3" t="inlineStr">
        <is>
          <t>Normalized EBITDA</t>
        </is>
      </c>
      <c r="C7" s="25" t="n">
        <v>-116.683</v>
      </c>
      <c r="D7" s="25" t="n">
        <v>-171.002</v>
      </c>
      <c r="E7" s="25" t="n">
        <v>-163.391</v>
      </c>
      <c r="F7" s="25" t="n">
        <v>-301.777</v>
      </c>
    </row>
    <row r="8">
      <c r="A8" s="3" t="inlineStr">
        <is>
          <t>Total Unusual Items</t>
        </is>
      </c>
      <c r="C8" s="25" t="n">
        <v>19.114</v>
      </c>
      <c r="D8" s="25" t="n">
        <v>8.986000000000001</v>
      </c>
      <c r="E8" s="25" t="n">
        <v>-279.59</v>
      </c>
      <c r="F8" s="25" t="n">
        <v>-68.154</v>
      </c>
    </row>
    <row r="9">
      <c r="A9" s="3" t="inlineStr">
        <is>
          <t>Total Unusual Items Excluding Goodwill</t>
        </is>
      </c>
      <c r="C9" s="25" t="n">
        <v>19.114</v>
      </c>
      <c r="D9" s="25" t="n">
        <v>8.986000000000001</v>
      </c>
      <c r="E9" s="25" t="n">
        <v>-279.59</v>
      </c>
      <c r="F9" s="25" t="n">
        <v>-68.154</v>
      </c>
    </row>
    <row r="10">
      <c r="A10" s="3" t="inlineStr">
        <is>
          <t>Net Income From Continuing Operation Net Minority Interest</t>
        </is>
      </c>
      <c r="C10" s="25" t="n">
        <v>-31.64</v>
      </c>
      <c r="D10" s="25" t="n">
        <v>-87.56100000000001</v>
      </c>
      <c r="E10" s="25" t="n">
        <v>-300.083</v>
      </c>
      <c r="F10" s="25" t="n">
        <v>-341.94</v>
      </c>
    </row>
    <row r="11">
      <c r="A11" s="3" t="inlineStr">
        <is>
          <t>Reconciled Depreciation</t>
        </is>
      </c>
      <c r="C11" s="25" t="n">
        <v>4.711</v>
      </c>
      <c r="D11" s="25" t="n">
        <v>54.469</v>
      </c>
      <c r="E11" s="25" t="n">
        <v>63.34</v>
      </c>
      <c r="F11" s="25" t="n">
        <v>51.111</v>
      </c>
    </row>
    <row r="12">
      <c r="A12" s="3" t="inlineStr">
        <is>
          <t>Reconciled Cost Of Revenue</t>
        </is>
      </c>
      <c r="C12" s="25" t="n">
        <v>6.714</v>
      </c>
      <c r="D12" s="25" t="n">
        <v>0</v>
      </c>
      <c r="E12" s="25" t="n">
        <v>0</v>
      </c>
      <c r="F12" s="25" t="n">
        <v>35.216</v>
      </c>
    </row>
    <row r="13">
      <c r="A13" s="3" t="inlineStr">
        <is>
          <t>EBITDA</t>
        </is>
      </c>
      <c r="C13" s="25" t="n">
        <v>-97.569</v>
      </c>
      <c r="D13" s="25" t="n">
        <v>-162.016</v>
      </c>
      <c r="E13" s="25" t="n">
        <v>-442.981</v>
      </c>
      <c r="F13" s="25" t="n">
        <v>-369.931</v>
      </c>
    </row>
    <row r="14">
      <c r="A14" s="3" t="inlineStr">
        <is>
          <t>EBIT</t>
        </is>
      </c>
      <c r="C14" s="25" t="n">
        <v>-102.28</v>
      </c>
      <c r="D14" s="25" t="n">
        <v>-216.485</v>
      </c>
      <c r="E14" s="25" t="n">
        <v>-506.321</v>
      </c>
      <c r="F14" s="25" t="n">
        <v>-421.042</v>
      </c>
    </row>
    <row r="15">
      <c r="A15" s="3" t="inlineStr">
        <is>
          <t>Net Interest Income</t>
        </is>
      </c>
      <c r="C15" s="25" t="n">
        <v>2.633</v>
      </c>
      <c r="D15" s="25" t="n">
        <v>2.675</v>
      </c>
      <c r="E15" s="25" t="n">
        <v>-4.517</v>
      </c>
      <c r="F15" s="25" t="n">
        <v>13.162</v>
      </c>
    </row>
    <row r="16">
      <c r="A16" s="3" t="inlineStr">
        <is>
          <t>Interest Expense</t>
        </is>
      </c>
      <c r="C16" s="25" t="n">
        <v>0.216</v>
      </c>
      <c r="D16" s="25" t="n">
        <v>4.511</v>
      </c>
      <c r="E16" s="25" t="n">
        <v>18.681</v>
      </c>
      <c r="F16" s="25" t="n">
        <v>36.071</v>
      </c>
    </row>
    <row r="17">
      <c r="A17" s="3" t="inlineStr">
        <is>
          <t>Interest Income</t>
        </is>
      </c>
      <c r="C17" s="25" t="n">
        <v>2.849</v>
      </c>
      <c r="D17" s="25" t="n">
        <v>7.186</v>
      </c>
      <c r="E17" s="25" t="n">
        <v>14.164</v>
      </c>
      <c r="F17" s="25" t="n">
        <v>49.233</v>
      </c>
    </row>
    <row r="18">
      <c r="A18" s="3" t="inlineStr">
        <is>
          <t>Normalized Income</t>
        </is>
      </c>
      <c r="C18" s="25" t="n">
        <v>-46.74006</v>
      </c>
      <c r="D18" s="25" t="n">
        <v>-94.65994000000001</v>
      </c>
      <c r="E18" s="25" t="n">
        <v>-20.493</v>
      </c>
      <c r="F18" s="25" t="n">
        <v>-288.09834</v>
      </c>
    </row>
    <row r="19">
      <c r="A19" s="3" t="inlineStr">
        <is>
          <t>Net Income From Continuing And Discontinued Operation</t>
        </is>
      </c>
      <c r="C19" s="25" t="n">
        <v>-31.64</v>
      </c>
      <c r="D19" s="25" t="n">
        <v>-87.56100000000001</v>
      </c>
      <c r="E19" s="25" t="n">
        <v>-300.083</v>
      </c>
      <c r="F19" s="25" t="n">
        <v>-341.94</v>
      </c>
    </row>
    <row r="20">
      <c r="A20" s="3" t="inlineStr">
        <is>
          <t>Total Expenses</t>
        </is>
      </c>
      <c r="C20" s="25" t="n">
        <v>159.589</v>
      </c>
      <c r="D20" s="25" t="n">
        <v>222.367</v>
      </c>
      <c r="E20" s="25" t="n">
        <v>247.18</v>
      </c>
      <c r="F20" s="25" t="n">
        <v>358.631</v>
      </c>
    </row>
    <row r="21">
      <c r="A21" s="3" t="inlineStr">
        <is>
          <t>Diluted Average Shares</t>
        </is>
      </c>
      <c r="C21" s="25" t="n">
        <v>54.437073</v>
      </c>
      <c r="D21" s="25" t="n">
        <v>81.824122</v>
      </c>
      <c r="E21" s="25" t="n">
        <v>154.501344</v>
      </c>
      <c r="F21" s="25" t="n">
        <v>255.982592</v>
      </c>
    </row>
    <row r="22">
      <c r="A22" s="3" t="inlineStr">
        <is>
          <t>Basic Average Shares</t>
        </is>
      </c>
      <c r="C22" s="25" t="n">
        <v>54.437073</v>
      </c>
      <c r="D22" s="25" t="n">
        <v>81.824122</v>
      </c>
      <c r="E22" s="25" t="n">
        <v>154.501344</v>
      </c>
      <c r="F22" s="25" t="n">
        <v>255.982592</v>
      </c>
    </row>
    <row r="23">
      <c r="A23" s="3" t="inlineStr">
        <is>
          <t>Diluted EPS</t>
        </is>
      </c>
      <c r="C23" s="25" t="n">
        <v>-5.8e-07</v>
      </c>
      <c r="D23" s="25" t="n">
        <v>-1.07e-06</v>
      </c>
      <c r="E23" s="25" t="n">
        <v>-1.94e-06</v>
      </c>
      <c r="F23" s="25" t="n">
        <v>-1.34e-06</v>
      </c>
    </row>
    <row r="24">
      <c r="A24" s="3" t="inlineStr">
        <is>
          <t>Basic EPS</t>
        </is>
      </c>
      <c r="C24" s="25" t="n">
        <v>-5.8e-07</v>
      </c>
      <c r="D24" s="25" t="n">
        <v>-1.07e-06</v>
      </c>
      <c r="E24" s="25" t="n">
        <v>-1.94e-06</v>
      </c>
      <c r="F24" s="25" t="n">
        <v>-1.34e-06</v>
      </c>
    </row>
    <row r="25">
      <c r="A25" s="3" t="inlineStr">
        <is>
          <t>Diluted NI Availto Com Stockholders</t>
        </is>
      </c>
      <c r="C25" s="25" t="n">
        <v>-31.64</v>
      </c>
      <c r="D25" s="25" t="n">
        <v>-87.56100000000001</v>
      </c>
      <c r="E25" s="25" t="n">
        <v>-300.083</v>
      </c>
      <c r="F25" s="25" t="n">
        <v>-341.94</v>
      </c>
    </row>
    <row r="26">
      <c r="A26" s="3" t="inlineStr">
        <is>
          <t>Net Income Common Stockholders</t>
        </is>
      </c>
      <c r="C26" s="25" t="n">
        <v>-31.64</v>
      </c>
      <c r="D26" s="25" t="n">
        <v>-87.56100000000001</v>
      </c>
      <c r="E26" s="25" t="n">
        <v>-300.083</v>
      </c>
      <c r="F26" s="25" t="n">
        <v>-341.94</v>
      </c>
    </row>
    <row r="27">
      <c r="A27" s="3" t="inlineStr">
        <is>
          <t>Net Income</t>
        </is>
      </c>
      <c r="C27" s="25" t="n">
        <v>-31.64</v>
      </c>
      <c r="D27" s="25" t="n">
        <v>-87.56100000000001</v>
      </c>
      <c r="E27" s="25" t="n">
        <v>-300.083</v>
      </c>
      <c r="F27" s="25" t="n">
        <v>-341.94</v>
      </c>
    </row>
    <row r="28">
      <c r="A28" s="3" t="inlineStr">
        <is>
          <t>Minority Interests</t>
        </is>
      </c>
      <c r="C28" s="25" t="n">
        <v>71.473</v>
      </c>
      <c r="D28" s="25" t="n">
        <v>135.116</v>
      </c>
      <c r="E28" s="25" t="n">
        <v>226.247</v>
      </c>
      <c r="F28" s="25" t="n">
        <v>119.071</v>
      </c>
    </row>
    <row r="29">
      <c r="A29" s="3" t="inlineStr">
        <is>
          <t>Net Income Including Noncontrolling Interests</t>
        </is>
      </c>
      <c r="C29" s="25" t="n">
        <v>-103.113</v>
      </c>
      <c r="D29" s="25" t="n">
        <v>-222.677</v>
      </c>
      <c r="E29" s="25" t="n">
        <v>-526.33</v>
      </c>
      <c r="F29" s="25" t="n">
        <v>-461.011</v>
      </c>
    </row>
    <row r="30">
      <c r="A30" s="3" t="inlineStr">
        <is>
          <t>Net Income Continuous Operations</t>
        </is>
      </c>
      <c r="C30" s="25" t="n">
        <v>-103.113</v>
      </c>
      <c r="D30" s="25" t="n">
        <v>-222.677</v>
      </c>
      <c r="E30" s="25" t="n">
        <v>-526.33</v>
      </c>
      <c r="F30" s="25" t="n">
        <v>-461.011</v>
      </c>
    </row>
    <row r="31">
      <c r="A31" s="3" t="inlineStr">
        <is>
          <t>Tax Provision</t>
        </is>
      </c>
      <c r="C31" s="25" t="n">
        <v>0.617</v>
      </c>
      <c r="D31" s="25" t="n">
        <v>1.681</v>
      </c>
      <c r="E31" s="25" t="n">
        <v>1.328</v>
      </c>
      <c r="F31" s="25" t="n">
        <v>3.898</v>
      </c>
    </row>
    <row r="32">
      <c r="A32" s="3" t="inlineStr">
        <is>
          <t>Pretax Income</t>
        </is>
      </c>
      <c r="C32" s="25" t="n">
        <v>-102.496</v>
      </c>
      <c r="D32" s="25" t="n">
        <v>-220.996</v>
      </c>
      <c r="E32" s="25" t="n">
        <v>-525.002</v>
      </c>
      <c r="F32" s="25" t="n">
        <v>-457.113</v>
      </c>
    </row>
    <row r="33">
      <c r="A33" s="3" t="inlineStr">
        <is>
          <t>Other Income Expense</t>
        </is>
      </c>
      <c r="C33" s="25" t="n">
        <v>40.635</v>
      </c>
      <c r="D33" s="25" t="n">
        <v>-1.304</v>
      </c>
      <c r="E33" s="25" t="n">
        <v>-277.723</v>
      </c>
      <c r="F33" s="25" t="n">
        <v>-182.562</v>
      </c>
    </row>
    <row r="34">
      <c r="A34" s="3" t="inlineStr">
        <is>
          <t>Other Non Operating Income Expenses</t>
        </is>
      </c>
      <c r="C34" s="25" t="n">
        <v>21.521</v>
      </c>
      <c r="D34" s="25" t="n">
        <v>-10.29</v>
      </c>
      <c r="E34" s="25" t="n">
        <v>1.867</v>
      </c>
      <c r="F34" s="25" t="n">
        <v>-114.408</v>
      </c>
    </row>
    <row r="35">
      <c r="A35" s="3" t="inlineStr">
        <is>
          <t>Special Income Charges</t>
        </is>
      </c>
      <c r="D35" s="25" t="n">
        <v>0</v>
      </c>
      <c r="E35" s="25" t="n">
        <v>-10.963</v>
      </c>
      <c r="F35" s="25" t="n">
        <v>0</v>
      </c>
    </row>
    <row r="36">
      <c r="A36" s="3" t="inlineStr">
        <is>
          <t>Other Special Charges</t>
        </is>
      </c>
      <c r="E36" s="25" t="n">
        <v>10.963</v>
      </c>
    </row>
    <row r="37">
      <c r="A37" s="3" t="inlineStr">
        <is>
          <t>Gain On Sale Of Security</t>
        </is>
      </c>
      <c r="C37" s="25" t="n">
        <v>19.114</v>
      </c>
      <c r="D37" s="25" t="n">
        <v>8.986000000000001</v>
      </c>
      <c r="E37" s="25" t="n">
        <v>-268.627</v>
      </c>
      <c r="F37" s="25" t="n">
        <v>-68.154</v>
      </c>
    </row>
    <row r="38">
      <c r="A38" s="3" t="inlineStr">
        <is>
          <t>Net Non Operating Interest Income Expense</t>
        </is>
      </c>
      <c r="C38" s="25" t="n">
        <v>2.633</v>
      </c>
      <c r="D38" s="25" t="n">
        <v>2.675</v>
      </c>
      <c r="E38" s="25" t="n">
        <v>-4.517</v>
      </c>
      <c r="F38" s="25" t="n">
        <v>13.162</v>
      </c>
    </row>
    <row r="39">
      <c r="A39" s="3" t="inlineStr">
        <is>
          <t>Interest Expense Non Operating</t>
        </is>
      </c>
      <c r="C39" s="25" t="n">
        <v>0.216</v>
      </c>
      <c r="D39" s="25" t="n">
        <v>4.511</v>
      </c>
      <c r="E39" s="25" t="n">
        <v>18.681</v>
      </c>
      <c r="F39" s="25" t="n">
        <v>36.071</v>
      </c>
    </row>
    <row r="40">
      <c r="A40" s="3" t="inlineStr">
        <is>
          <t>Interest Income Non Operating</t>
        </is>
      </c>
      <c r="C40" s="25" t="n">
        <v>2.849</v>
      </c>
      <c r="D40" s="25" t="n">
        <v>7.186</v>
      </c>
      <c r="E40" s="25" t="n">
        <v>14.164</v>
      </c>
      <c r="F40" s="25" t="n">
        <v>49.233</v>
      </c>
    </row>
    <row r="41">
      <c r="A41" s="3" t="inlineStr">
        <is>
          <t>Operating Income</t>
        </is>
      </c>
      <c r="C41" s="25" t="n">
        <v>-145.764</v>
      </c>
      <c r="D41" s="25" t="n">
        <v>-222.367</v>
      </c>
      <c r="E41" s="25" t="n">
        <v>-242.762</v>
      </c>
      <c r="F41" s="25" t="n">
        <v>-287.713</v>
      </c>
    </row>
    <row r="42">
      <c r="A42" s="3" t="inlineStr">
        <is>
          <t>Operating Expense</t>
        </is>
      </c>
      <c r="C42" s="25" t="n">
        <v>152.875</v>
      </c>
      <c r="D42" s="25" t="n">
        <v>222.367</v>
      </c>
      <c r="E42" s="25" t="n">
        <v>247.18</v>
      </c>
      <c r="F42" s="25" t="n">
        <v>323.415</v>
      </c>
    </row>
    <row r="43">
      <c r="A43" s="3" t="inlineStr">
        <is>
          <t>Other Operating Expenses</t>
        </is>
      </c>
      <c r="B43" s="25" t="n">
        <v>29.599</v>
      </c>
    </row>
    <row r="44">
      <c r="A44" s="3" t="inlineStr">
        <is>
          <t>Depreciation Amortization Depletion Income Statement</t>
        </is>
      </c>
      <c r="C44" s="25" t="n">
        <v>4.711</v>
      </c>
      <c r="D44" s="25" t="n">
        <v>54.469</v>
      </c>
      <c r="E44" s="25" t="n">
        <v>63.34</v>
      </c>
      <c r="F44" s="25" t="n">
        <v>51.111</v>
      </c>
    </row>
    <row r="45">
      <c r="A45" s="3" t="inlineStr">
        <is>
          <t>Depreciation And Amortization In Income Statement</t>
        </is>
      </c>
      <c r="C45" s="25" t="n">
        <v>4.711</v>
      </c>
      <c r="D45" s="25" t="n">
        <v>54.469</v>
      </c>
      <c r="E45" s="25" t="n">
        <v>63.34</v>
      </c>
      <c r="F45" s="25" t="n">
        <v>51.111</v>
      </c>
    </row>
    <row r="46">
      <c r="A46" s="3" t="inlineStr">
        <is>
          <t>Research And Development</t>
        </is>
      </c>
      <c r="C46" s="25" t="n">
        <v>99.83199999999999</v>
      </c>
      <c r="D46" s="25" t="n">
        <v>126.297</v>
      </c>
      <c r="E46" s="25" t="n">
        <v>122.274</v>
      </c>
      <c r="F46" s="25" t="n">
        <v>170.625</v>
      </c>
    </row>
    <row r="47">
      <c r="A47" s="3" t="inlineStr">
        <is>
          <t>Selling General And Administration</t>
        </is>
      </c>
      <c r="C47" s="25" t="n">
        <v>48.332</v>
      </c>
      <c r="D47" s="25" t="n">
        <v>41.601</v>
      </c>
      <c r="E47" s="25" t="n">
        <v>61.566</v>
      </c>
      <c r="F47" s="25" t="n">
        <v>101.679</v>
      </c>
    </row>
    <row r="48">
      <c r="A48" s="3" t="inlineStr">
        <is>
          <t>General And Administrative Expense</t>
        </is>
      </c>
      <c r="C48" s="25" t="n">
        <v>48.332</v>
      </c>
      <c r="D48" s="25" t="n">
        <v>41.601</v>
      </c>
      <c r="E48" s="25" t="n">
        <v>61.566</v>
      </c>
      <c r="F48" s="25" t="n">
        <v>101.679</v>
      </c>
    </row>
    <row r="49">
      <c r="A49" s="3" t="inlineStr">
        <is>
          <t>Other Gand A</t>
        </is>
      </c>
      <c r="C49" s="25" t="n">
        <v>48.332</v>
      </c>
      <c r="D49" s="25" t="n">
        <v>41.601</v>
      </c>
      <c r="E49" s="25" t="n">
        <v>61.566</v>
      </c>
      <c r="F49" s="25" t="n">
        <v>101.679</v>
      </c>
    </row>
    <row r="50">
      <c r="A50" s="3" t="inlineStr">
        <is>
          <t>Gross Profit</t>
        </is>
      </c>
      <c r="C50" s="25" t="n">
        <v>7.111</v>
      </c>
      <c r="D50" s="25" t="n">
        <v>0</v>
      </c>
      <c r="E50" s="25" t="n">
        <v>4.418</v>
      </c>
      <c r="F50" s="25" t="n">
        <v>35.702</v>
      </c>
    </row>
    <row r="51">
      <c r="A51" s="3" t="inlineStr">
        <is>
          <t>Cost Of Revenue</t>
        </is>
      </c>
      <c r="C51" s="25" t="n">
        <v>6.714</v>
      </c>
      <c r="D51" s="25" t="n">
        <v>0</v>
      </c>
      <c r="E51" s="25" t="n">
        <v>0</v>
      </c>
      <c r="F51" s="25" t="n">
        <v>35.216</v>
      </c>
    </row>
    <row r="52">
      <c r="A52" s="3" t="inlineStr">
        <is>
          <t>Total Revenue</t>
        </is>
      </c>
      <c r="C52" s="25" t="n">
        <v>13.825</v>
      </c>
      <c r="D52" s="25" t="n">
        <v>0</v>
      </c>
      <c r="E52" s="25" t="n">
        <v>4.418</v>
      </c>
      <c r="F52" s="25" t="n">
        <v>70.91800000000001</v>
      </c>
    </row>
    <row r="53">
      <c r="A53" s="3" t="inlineStr">
        <is>
          <t>Operating Revenue</t>
        </is>
      </c>
      <c r="C53" s="25" t="n">
        <v>13.825</v>
      </c>
      <c r="D53" s="25" t="n">
        <v>0</v>
      </c>
      <c r="E53" s="25" t="n">
        <v>4.418</v>
      </c>
      <c r="F53" s="25" t="n">
        <v>70.91800000000001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ASTS — BS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Ordinary Shares Number</t>
        </is>
      </c>
      <c r="C5" s="25" t="n">
        <v>71.819926</v>
      </c>
      <c r="D5" s="25" t="n">
        <v>90.161309</v>
      </c>
      <c r="E5" s="25" t="n">
        <v>208.173198</v>
      </c>
      <c r="F5" s="25" t="n">
        <v>285.449911</v>
      </c>
    </row>
    <row r="6">
      <c r="A6" s="3" t="inlineStr">
        <is>
          <t>Share Issued</t>
        </is>
      </c>
      <c r="C6" s="25" t="n">
        <v>71.819926</v>
      </c>
      <c r="D6" s="25" t="n">
        <v>90.161309</v>
      </c>
      <c r="E6" s="25" t="n">
        <v>208.173198</v>
      </c>
      <c r="F6" s="25" t="n">
        <v>285.449911</v>
      </c>
    </row>
    <row r="7">
      <c r="A7" s="3" t="inlineStr">
        <is>
          <t>Total Debt</t>
        </is>
      </c>
      <c r="C7" s="25" t="n">
        <v>12.768</v>
      </c>
      <c r="D7" s="25" t="n">
        <v>72.872</v>
      </c>
      <c r="E7" s="25" t="n">
        <v>173</v>
      </c>
      <c r="F7" s="25" t="n">
        <v>2239.51</v>
      </c>
    </row>
    <row r="8">
      <c r="A8" s="3" t="inlineStr">
        <is>
          <t>Tangible Book Value</t>
        </is>
      </c>
      <c r="C8" s="25" t="n">
        <v>133.532</v>
      </c>
      <c r="D8" s="25" t="n">
        <v>98.991</v>
      </c>
      <c r="E8" s="25" t="n">
        <v>479.115</v>
      </c>
      <c r="F8" s="25" t="n">
        <v>1596.382</v>
      </c>
    </row>
    <row r="9">
      <c r="A9" s="3" t="inlineStr">
        <is>
          <t>Invested Capital</t>
        </is>
      </c>
      <c r="C9" s="25" t="n">
        <v>138.532</v>
      </c>
      <c r="D9" s="25" t="n">
        <v>158.495</v>
      </c>
      <c r="E9" s="25" t="n">
        <v>637.607</v>
      </c>
      <c r="F9" s="25" t="n">
        <v>4061.057</v>
      </c>
    </row>
    <row r="10">
      <c r="A10" s="3" t="inlineStr">
        <is>
          <t>Working Capital</t>
        </is>
      </c>
      <c r="C10" s="25" t="n">
        <v>240.514</v>
      </c>
      <c r="D10" s="25" t="n">
        <v>60.661</v>
      </c>
      <c r="E10" s="25" t="n">
        <v>524.304</v>
      </c>
      <c r="F10" s="25" t="n">
        <v>2308.168</v>
      </c>
    </row>
    <row r="11">
      <c r="A11" s="3" t="inlineStr">
        <is>
          <t>Net Tangible Assets</t>
        </is>
      </c>
      <c r="C11" s="25" t="n">
        <v>133.532</v>
      </c>
      <c r="D11" s="25" t="n">
        <v>98.991</v>
      </c>
      <c r="E11" s="25" t="n">
        <v>479.115</v>
      </c>
      <c r="F11" s="25" t="n">
        <v>1596.382</v>
      </c>
    </row>
    <row r="12">
      <c r="A12" s="3" t="inlineStr">
        <is>
          <t>Capital Lease Obligations</t>
        </is>
      </c>
      <c r="C12" s="25" t="n">
        <v>7.768</v>
      </c>
      <c r="D12" s="25" t="n">
        <v>13.368</v>
      </c>
      <c r="E12" s="25" t="n">
        <v>14.508</v>
      </c>
      <c r="F12" s="25" t="n">
        <v>19.928</v>
      </c>
    </row>
    <row r="13">
      <c r="A13" s="3" t="inlineStr">
        <is>
          <t>Common Stock Equity</t>
        </is>
      </c>
      <c r="C13" s="25" t="n">
        <v>133.532</v>
      </c>
      <c r="D13" s="25" t="n">
        <v>98.991</v>
      </c>
      <c r="E13" s="25" t="n">
        <v>479.115</v>
      </c>
      <c r="F13" s="25" t="n">
        <v>1841.475</v>
      </c>
    </row>
    <row r="14">
      <c r="A14" s="3" t="inlineStr">
        <is>
          <t>Total Capitalization</t>
        </is>
      </c>
      <c r="C14" s="25" t="n">
        <v>138.29</v>
      </c>
      <c r="D14" s="25" t="n">
        <v>158.243</v>
      </c>
      <c r="E14" s="25" t="n">
        <v>634.688</v>
      </c>
      <c r="F14" s="25" t="n">
        <v>4049.058</v>
      </c>
    </row>
    <row r="15">
      <c r="A15" s="3" t="inlineStr">
        <is>
          <t>Total Equity Gross Minority Interest</t>
        </is>
      </c>
      <c r="C15" s="25" t="n">
        <v>359.826</v>
      </c>
      <c r="D15" s="25" t="n">
        <v>213.559</v>
      </c>
      <c r="E15" s="25" t="n">
        <v>669.146</v>
      </c>
      <c r="F15" s="25" t="n">
        <v>2392.325</v>
      </c>
    </row>
    <row r="16">
      <c r="A16" s="3" t="inlineStr">
        <is>
          <t>Minority Interest</t>
        </is>
      </c>
      <c r="C16" s="25" t="n">
        <v>226.294</v>
      </c>
      <c r="D16" s="25" t="n">
        <v>114.568</v>
      </c>
      <c r="E16" s="25" t="n">
        <v>190.031</v>
      </c>
      <c r="F16" s="25" t="n">
        <v>550.85</v>
      </c>
    </row>
    <row r="17">
      <c r="A17" s="3" t="inlineStr">
        <is>
          <t>Stockholders Equity</t>
        </is>
      </c>
      <c r="C17" s="25" t="n">
        <v>133.532</v>
      </c>
      <c r="D17" s="25" t="n">
        <v>98.991</v>
      </c>
      <c r="E17" s="25" t="n">
        <v>479.115</v>
      </c>
      <c r="F17" s="25" t="n">
        <v>1841.475</v>
      </c>
    </row>
    <row r="18">
      <c r="A18" s="3" t="inlineStr">
        <is>
          <t>Gains Losses Not Affecting Retained Earnings</t>
        </is>
      </c>
      <c r="C18" s="25" t="n">
        <v>0.229</v>
      </c>
      <c r="D18" s="25" t="n">
        <v>0.227</v>
      </c>
      <c r="E18" s="25" t="n">
        <v>-0.176</v>
      </c>
      <c r="F18" s="25" t="n">
        <v>1.351</v>
      </c>
    </row>
    <row r="19">
      <c r="A19" s="3" t="inlineStr">
        <is>
          <t>Other Equity Adjustments</t>
        </is>
      </c>
      <c r="C19" s="25" t="n">
        <v>0.229</v>
      </c>
      <c r="D19" s="25" t="n">
        <v>0.227</v>
      </c>
      <c r="E19" s="25" t="n">
        <v>-0.176</v>
      </c>
      <c r="F19" s="25" t="n">
        <v>1.351</v>
      </c>
    </row>
    <row r="20">
      <c r="A20" s="3" t="inlineStr">
        <is>
          <t>Retained Earnings</t>
        </is>
      </c>
      <c r="C20" s="25" t="n">
        <v>-102.101</v>
      </c>
      <c r="D20" s="25" t="n">
        <v>-189.662</v>
      </c>
      <c r="E20" s="25" t="n">
        <v>-489.745</v>
      </c>
      <c r="F20" s="25" t="n">
        <v>-831.6849999999999</v>
      </c>
    </row>
    <row r="21">
      <c r="A21" s="3" t="inlineStr">
        <is>
          <t>Additional Paid In Capital</t>
        </is>
      </c>
      <c r="C21" s="25" t="n">
        <v>235.384</v>
      </c>
      <c r="D21" s="25" t="n">
        <v>288.404</v>
      </c>
      <c r="E21" s="25" t="n">
        <v>969.004</v>
      </c>
      <c r="F21" s="25" t="n">
        <v>2671.77</v>
      </c>
    </row>
    <row r="22">
      <c r="A22" s="3" t="inlineStr">
        <is>
          <t>Capital Stock</t>
        </is>
      </c>
      <c r="C22" s="25" t="n">
        <v>0.02</v>
      </c>
      <c r="D22" s="25" t="n">
        <v>0.022</v>
      </c>
      <c r="E22" s="25" t="n">
        <v>0.032</v>
      </c>
      <c r="F22" s="25" t="n">
        <v>0.039</v>
      </c>
    </row>
    <row r="23">
      <c r="A23" s="3" t="inlineStr">
        <is>
          <t>Common Stock</t>
        </is>
      </c>
      <c r="C23" s="25" t="n">
        <v>0.02</v>
      </c>
      <c r="D23" s="25" t="n">
        <v>0.022</v>
      </c>
      <c r="E23" s="25" t="n">
        <v>0.032</v>
      </c>
      <c r="F23" s="25" t="n">
        <v>0.039</v>
      </c>
    </row>
    <row r="24">
      <c r="A24" s="3" t="inlineStr">
        <is>
          <t>Total Liabilities Net Minority Interest</t>
        </is>
      </c>
      <c r="C24" s="25" t="n">
        <v>78.54600000000001</v>
      </c>
      <c r="D24" s="25" t="n">
        <v>147.333</v>
      </c>
      <c r="E24" s="25" t="n">
        <v>285.415</v>
      </c>
      <c r="F24" s="25" t="n">
        <v>2622.062</v>
      </c>
    </row>
    <row r="25">
      <c r="A25" s="3" t="inlineStr">
        <is>
          <t>Total Non Current Liabilities Net Minority Interest</t>
        </is>
      </c>
      <c r="C25" s="25" t="n">
        <v>50.75</v>
      </c>
      <c r="D25" s="25" t="n">
        <v>101.112</v>
      </c>
      <c r="E25" s="25" t="n">
        <v>209.473</v>
      </c>
      <c r="F25" s="25" t="n">
        <v>2471.718</v>
      </c>
    </row>
    <row r="26">
      <c r="A26" s="3" t="inlineStr">
        <is>
          <t>Other Non Current Liabilities</t>
        </is>
      </c>
      <c r="F26" s="25" t="n">
        <v>32.092</v>
      </c>
    </row>
    <row r="27">
      <c r="A27" s="3" t="inlineStr">
        <is>
          <t>Derivative Product Liabilities</t>
        </is>
      </c>
      <c r="C27" s="25" t="n">
        <v>38.946</v>
      </c>
      <c r="D27" s="25" t="n">
        <v>29.96</v>
      </c>
      <c r="E27" s="25" t="n">
        <v>41.248</v>
      </c>
      <c r="F27" s="25" t="n">
        <v>7.471</v>
      </c>
    </row>
    <row r="28">
      <c r="A28" s="3" t="inlineStr">
        <is>
          <t>Non Current Deferred Liabilities</t>
        </is>
      </c>
      <c r="E28" s="25" t="n">
        <v>0</v>
      </c>
      <c r="F28" s="25" t="n">
        <v>207.093</v>
      </c>
    </row>
    <row r="29">
      <c r="A29" s="3" t="inlineStr">
        <is>
          <t>Non Current Deferred Revenue</t>
        </is>
      </c>
      <c r="E29" s="25" t="n">
        <v>0</v>
      </c>
      <c r="F29" s="25" t="n">
        <v>207.093</v>
      </c>
    </row>
    <row r="30">
      <c r="A30" s="3" t="inlineStr">
        <is>
          <t>Long Term Debt And Capital Lease Obligation</t>
        </is>
      </c>
      <c r="C30" s="25" t="n">
        <v>11.804</v>
      </c>
      <c r="D30" s="25" t="n">
        <v>71.152</v>
      </c>
      <c r="E30" s="25" t="n">
        <v>168.225</v>
      </c>
      <c r="F30" s="25" t="n">
        <v>2225.062</v>
      </c>
    </row>
    <row r="31">
      <c r="A31" s="3" t="inlineStr">
        <is>
          <t>Long Term Capital Lease Obligation</t>
        </is>
      </c>
      <c r="C31" s="25" t="n">
        <v>7.046</v>
      </c>
      <c r="D31" s="25" t="n">
        <v>11.9</v>
      </c>
      <c r="E31" s="25" t="n">
        <v>12.652</v>
      </c>
      <c r="F31" s="25" t="n">
        <v>17.479</v>
      </c>
    </row>
    <row r="32">
      <c r="A32" s="3" t="inlineStr">
        <is>
          <t>Long Term Debt</t>
        </is>
      </c>
      <c r="C32" s="25" t="n">
        <v>4.758</v>
      </c>
      <c r="D32" s="25" t="n">
        <v>59.252</v>
      </c>
      <c r="E32" s="25" t="n">
        <v>155.573</v>
      </c>
      <c r="F32" s="25" t="n">
        <v>2207.583</v>
      </c>
    </row>
    <row r="33">
      <c r="A33" s="3" t="inlineStr">
        <is>
          <t>Current Liabilities</t>
        </is>
      </c>
      <c r="C33" s="25" t="n">
        <v>27.796</v>
      </c>
      <c r="D33" s="25" t="n">
        <v>46.221</v>
      </c>
      <c r="E33" s="25" t="n">
        <v>75.94199999999999</v>
      </c>
      <c r="F33" s="25" t="n">
        <v>150.344</v>
      </c>
    </row>
    <row r="34">
      <c r="A34" s="3" t="inlineStr">
        <is>
          <t>Other Current Liabilities</t>
        </is>
      </c>
      <c r="C34" s="25" t="n">
        <v>2.373</v>
      </c>
      <c r="D34" s="25" t="n">
        <v>2.462</v>
      </c>
      <c r="E34" s="25" t="n">
        <v>3.014</v>
      </c>
      <c r="F34" s="25" t="n">
        <v>8.35</v>
      </c>
    </row>
    <row r="35">
      <c r="A35" s="3" t="inlineStr">
        <is>
          <t>Current Deferred Liabilities</t>
        </is>
      </c>
      <c r="C35" s="25" t="n">
        <v>2.499</v>
      </c>
      <c r="D35" s="25" t="n">
        <v>2.246</v>
      </c>
      <c r="E35" s="25" t="n">
        <v>41.968</v>
      </c>
      <c r="F35" s="25" t="n">
        <v>19.887</v>
      </c>
    </row>
    <row r="36">
      <c r="A36" s="3" t="inlineStr">
        <is>
          <t>Current Deferred Revenue</t>
        </is>
      </c>
      <c r="C36" s="25" t="n">
        <v>0</v>
      </c>
      <c r="D36" s="25" t="n">
        <v>0</v>
      </c>
      <c r="E36" s="25" t="n">
        <v>41.968</v>
      </c>
      <c r="F36" s="25" t="n">
        <v>19.887</v>
      </c>
    </row>
    <row r="37">
      <c r="A37" s="3" t="inlineStr">
        <is>
          <t>Current Debt And Capital Lease Obligation</t>
        </is>
      </c>
      <c r="C37" s="25" t="n">
        <v>0.964</v>
      </c>
      <c r="D37" s="25" t="n">
        <v>1.72</v>
      </c>
      <c r="E37" s="25" t="n">
        <v>4.775</v>
      </c>
      <c r="F37" s="25" t="n">
        <v>14.448</v>
      </c>
    </row>
    <row r="38">
      <c r="A38" s="3" t="inlineStr">
        <is>
          <t>Current Capital Lease Obligation</t>
        </is>
      </c>
      <c r="C38" s="25" t="n">
        <v>0.722</v>
      </c>
      <c r="D38" s="25" t="n">
        <v>1.468</v>
      </c>
      <c r="E38" s="25" t="n">
        <v>1.856</v>
      </c>
      <c r="F38" s="25" t="n">
        <v>2.449</v>
      </c>
    </row>
    <row r="39">
      <c r="A39" s="3" t="inlineStr">
        <is>
          <t>Current Debt</t>
        </is>
      </c>
      <c r="C39" s="25" t="n">
        <v>0.242</v>
      </c>
      <c r="D39" s="25" t="n">
        <v>0.252</v>
      </c>
      <c r="E39" s="25" t="n">
        <v>2.919</v>
      </c>
      <c r="F39" s="25" t="n">
        <v>11.999</v>
      </c>
    </row>
    <row r="40">
      <c r="A40" s="3" t="inlineStr">
        <is>
          <t>Other Current Borrowings</t>
        </is>
      </c>
      <c r="C40" s="25" t="n">
        <v>0.242</v>
      </c>
      <c r="D40" s="25" t="n">
        <v>0.252</v>
      </c>
      <c r="E40" s="25" t="n">
        <v>2.919</v>
      </c>
      <c r="F40" s="25" t="n">
        <v>11.999</v>
      </c>
    </row>
    <row r="41">
      <c r="A41" s="3" t="inlineStr">
        <is>
          <t>Payables And Accrued Expenses</t>
        </is>
      </c>
      <c r="C41" s="25" t="n">
        <v>21.96</v>
      </c>
      <c r="D41" s="25" t="n">
        <v>39.793</v>
      </c>
      <c r="E41" s="25" t="n">
        <v>26.185</v>
      </c>
      <c r="F41" s="25" t="n">
        <v>107.659</v>
      </c>
    </row>
    <row r="42">
      <c r="A42" s="3" t="inlineStr">
        <is>
          <t>Current Accrued Expenses</t>
        </is>
      </c>
      <c r="C42" s="25" t="n">
        <v>8.031000000000001</v>
      </c>
      <c r="D42" s="25" t="n">
        <v>19.218</v>
      </c>
      <c r="E42" s="25" t="n">
        <v>9.180999999999999</v>
      </c>
      <c r="F42" s="25" t="n">
        <v>60.896</v>
      </c>
    </row>
    <row r="43">
      <c r="A43" s="3" t="inlineStr">
        <is>
          <t>Interest Payable</t>
        </is>
      </c>
      <c r="E43" s="25" t="n">
        <v>0.296</v>
      </c>
      <c r="F43" s="25" t="n">
        <v>12.734</v>
      </c>
    </row>
    <row r="44">
      <c r="A44" s="3" t="inlineStr">
        <is>
          <t>Payables</t>
        </is>
      </c>
      <c r="C44" s="25" t="n">
        <v>13.929</v>
      </c>
      <c r="D44" s="25" t="n">
        <v>20.575</v>
      </c>
      <c r="E44" s="25" t="n">
        <v>17.004</v>
      </c>
      <c r="F44" s="25" t="n">
        <v>46.763</v>
      </c>
    </row>
    <row r="45">
      <c r="A45" s="3" t="inlineStr">
        <is>
          <t>Total Tax Payable</t>
        </is>
      </c>
      <c r="B45" s="25" t="n">
        <v>0.18</v>
      </c>
    </row>
    <row r="46">
      <c r="A46" s="3" t="inlineStr">
        <is>
          <t>Accounts Payable</t>
        </is>
      </c>
      <c r="C46" s="25" t="n">
        <v>13.929</v>
      </c>
      <c r="D46" s="25" t="n">
        <v>20.575</v>
      </c>
      <c r="E46" s="25" t="n">
        <v>17.004</v>
      </c>
      <c r="F46" s="25" t="n">
        <v>46.763</v>
      </c>
    </row>
    <row r="47">
      <c r="A47" s="3" t="inlineStr">
        <is>
          <t>Total Assets</t>
        </is>
      </c>
      <c r="C47" s="25" t="n">
        <v>438.372</v>
      </c>
      <c r="D47" s="25" t="n">
        <v>360.892</v>
      </c>
      <c r="E47" s="25" t="n">
        <v>954.561</v>
      </c>
      <c r="F47" s="25" t="n">
        <v>5014.387</v>
      </c>
    </row>
    <row r="48">
      <c r="A48" s="3" t="inlineStr">
        <is>
          <t>Total Non Current Assets</t>
        </is>
      </c>
      <c r="C48" s="25" t="n">
        <v>170.062</v>
      </c>
      <c r="D48" s="25" t="n">
        <v>254.01</v>
      </c>
      <c r="E48" s="25" t="n">
        <v>354.315</v>
      </c>
      <c r="F48" s="25" t="n">
        <v>2555.877</v>
      </c>
    </row>
    <row r="49">
      <c r="A49" s="3" t="inlineStr">
        <is>
          <t>Other Non Current Assets</t>
        </is>
      </c>
      <c r="C49" s="25" t="n">
        <v>16.402</v>
      </c>
      <c r="D49" s="25" t="n">
        <v>2.311</v>
      </c>
      <c r="E49" s="25" t="n">
        <v>2.632</v>
      </c>
      <c r="F49" s="25" t="n">
        <v>874.414</v>
      </c>
    </row>
    <row r="50">
      <c r="A50" s="3" t="inlineStr">
        <is>
          <t>Non Current Prepaid Assets</t>
        </is>
      </c>
      <c r="B50" s="25" t="n">
        <v>0</v>
      </c>
      <c r="C50" s="25" t="n">
        <v>14.75</v>
      </c>
    </row>
    <row r="51">
      <c r="A51" s="3" t="inlineStr">
        <is>
          <t>Non Current Note Receivables</t>
        </is>
      </c>
      <c r="E51" s="25" t="n">
        <v>0</v>
      </c>
      <c r="F51" s="25" t="n">
        <v>18.187</v>
      </c>
    </row>
    <row r="52">
      <c r="A52" s="3" t="inlineStr">
        <is>
          <t>Goodwill And Other Intangible Assets</t>
        </is>
      </c>
      <c r="B52" s="25" t="n">
        <v>3.641</v>
      </c>
      <c r="C52" s="25" t="n">
        <v>0</v>
      </c>
      <c r="E52" s="25" t="n">
        <v>0</v>
      </c>
      <c r="F52" s="25" t="n">
        <v>245.093</v>
      </c>
    </row>
    <row r="53">
      <c r="A53" s="3" t="inlineStr">
        <is>
          <t>Other Intangible Assets</t>
        </is>
      </c>
      <c r="B53" s="25" t="n">
        <v>0.242</v>
      </c>
    </row>
    <row r="54">
      <c r="A54" s="3" t="inlineStr">
        <is>
          <t>Goodwill</t>
        </is>
      </c>
      <c r="B54" s="25" t="n">
        <v>3.641</v>
      </c>
      <c r="C54" s="25" t="n">
        <v>0</v>
      </c>
    </row>
    <row r="55">
      <c r="A55" s="3" t="inlineStr">
        <is>
          <t>Net PPE</t>
        </is>
      </c>
      <c r="C55" s="25" t="n">
        <v>153.66</v>
      </c>
      <c r="D55" s="25" t="n">
        <v>251.699</v>
      </c>
      <c r="E55" s="25" t="n">
        <v>351.683</v>
      </c>
      <c r="F55" s="25" t="n">
        <v>1418.183</v>
      </c>
    </row>
    <row r="56">
      <c r="A56" s="3" t="inlineStr">
        <is>
          <t>Accumulated Depreciation</t>
        </is>
      </c>
      <c r="C56" s="25" t="n">
        <v>-6.979</v>
      </c>
      <c r="D56" s="25" t="n">
        <v>-61.173</v>
      </c>
      <c r="E56" s="25" t="n">
        <v>-122.366</v>
      </c>
      <c r="F56" s="25" t="n">
        <v>-173.711</v>
      </c>
    </row>
    <row r="57">
      <c r="A57" s="3" t="inlineStr">
        <is>
          <t>Gross PPE</t>
        </is>
      </c>
      <c r="C57" s="25" t="n">
        <v>160.639</v>
      </c>
      <c r="D57" s="25" t="n">
        <v>312.872</v>
      </c>
      <c r="E57" s="25" t="n">
        <v>474.049</v>
      </c>
      <c r="F57" s="25" t="n">
        <v>1591.894</v>
      </c>
    </row>
    <row r="58">
      <c r="A58" s="3" t="inlineStr">
        <is>
          <t>Leases</t>
        </is>
      </c>
      <c r="C58" s="25" t="n">
        <v>8.196999999999999</v>
      </c>
      <c r="D58" s="25" t="n">
        <v>9.111000000000001</v>
      </c>
      <c r="E58" s="25" t="n">
        <v>9.439</v>
      </c>
      <c r="F58" s="25" t="n">
        <v>15.241</v>
      </c>
    </row>
    <row r="59">
      <c r="A59" s="3" t="inlineStr">
        <is>
          <t>Construction In Progress</t>
        </is>
      </c>
      <c r="C59" s="25" t="n">
        <v>109.494</v>
      </c>
      <c r="D59" s="25" t="n">
        <v>130.684</v>
      </c>
      <c r="E59" s="25" t="n">
        <v>129.312</v>
      </c>
      <c r="F59" s="25" t="n">
        <v>1161.203</v>
      </c>
    </row>
    <row r="60">
      <c r="A60" s="3" t="inlineStr">
        <is>
          <t>Other Properties</t>
        </is>
      </c>
      <c r="C60" s="25" t="n">
        <v>28.177</v>
      </c>
      <c r="D60" s="25" t="n">
        <v>146.06</v>
      </c>
      <c r="E60" s="25" t="n">
        <v>299.692</v>
      </c>
      <c r="F60" s="25" t="n">
        <v>359.364</v>
      </c>
    </row>
    <row r="61">
      <c r="A61" s="3" t="inlineStr">
        <is>
          <t>Machinery Furniture Equipment</t>
        </is>
      </c>
      <c r="C61" s="25" t="n">
        <v>3.153</v>
      </c>
      <c r="D61" s="25" t="n">
        <v>11.112</v>
      </c>
      <c r="E61" s="25" t="n">
        <v>18.244</v>
      </c>
      <c r="F61" s="25" t="n">
        <v>25.131</v>
      </c>
    </row>
    <row r="62">
      <c r="A62" s="3" t="inlineStr">
        <is>
          <t>Buildings And Improvements</t>
        </is>
      </c>
      <c r="C62" s="25" t="n">
        <v>10.268</v>
      </c>
      <c r="D62" s="25" t="n">
        <v>14.555</v>
      </c>
      <c r="E62" s="25" t="n">
        <v>16.012</v>
      </c>
      <c r="F62" s="25" t="n">
        <v>29.03</v>
      </c>
    </row>
    <row r="63">
      <c r="A63" s="3" t="inlineStr">
        <is>
          <t>Land And Improvements</t>
        </is>
      </c>
      <c r="C63" s="25" t="n">
        <v>1.35</v>
      </c>
      <c r="D63" s="25" t="n">
        <v>1.35</v>
      </c>
      <c r="E63" s="25" t="n">
        <v>1.35</v>
      </c>
      <c r="F63" s="25" t="n">
        <v>1.925</v>
      </c>
    </row>
    <row r="64">
      <c r="A64" s="3" t="inlineStr">
        <is>
          <t>Properties</t>
        </is>
      </c>
      <c r="C64" s="25" t="n">
        <v>0</v>
      </c>
      <c r="D64" s="25" t="n">
        <v>0</v>
      </c>
      <c r="E64" s="25" t="n">
        <v>0</v>
      </c>
      <c r="F64" s="25" t="n">
        <v>0</v>
      </c>
    </row>
    <row r="65">
      <c r="A65" s="3" t="inlineStr">
        <is>
          <t>Current Assets</t>
        </is>
      </c>
      <c r="C65" s="25" t="n">
        <v>268.31</v>
      </c>
      <c r="D65" s="25" t="n">
        <v>106.882</v>
      </c>
      <c r="E65" s="25" t="n">
        <v>600.246</v>
      </c>
      <c r="F65" s="25" t="n">
        <v>2458.512</v>
      </c>
    </row>
    <row r="66">
      <c r="A66" s="3" t="inlineStr">
        <is>
          <t>Other Current Assets</t>
        </is>
      </c>
      <c r="C66" s="25" t="n">
        <v>0.334</v>
      </c>
      <c r="D66" s="25" t="n">
        <v>14.194</v>
      </c>
      <c r="E66" s="25" t="n">
        <v>22.363</v>
      </c>
      <c r="F66" s="25" t="n">
        <v>60.264</v>
      </c>
    </row>
    <row r="67">
      <c r="A67" s="3" t="inlineStr">
        <is>
          <t>Restricted Cash</t>
        </is>
      </c>
      <c r="C67" s="25" t="n">
        <v>0.668</v>
      </c>
      <c r="D67" s="25" t="n">
        <v>2.475</v>
      </c>
      <c r="E67" s="25" t="n">
        <v>2.546</v>
      </c>
      <c r="F67" s="25" t="n">
        <v>0.877</v>
      </c>
    </row>
    <row r="68">
      <c r="A68" s="3" t="inlineStr">
        <is>
          <t>Prepaid Assets</t>
        </is>
      </c>
      <c r="C68" s="25" t="n">
        <v>27.047</v>
      </c>
      <c r="D68" s="25" t="n">
        <v>4.591</v>
      </c>
      <c r="E68" s="25" t="n">
        <v>7.887</v>
      </c>
      <c r="F68" s="25" t="n">
        <v>11.955</v>
      </c>
    </row>
    <row r="69">
      <c r="A69" s="3" t="inlineStr">
        <is>
          <t>Inventory</t>
        </is>
      </c>
      <c r="B69" s="25" t="n">
        <v>1.412</v>
      </c>
      <c r="C69" s="25" t="n">
        <v>0</v>
      </c>
      <c r="E69" s="25" t="n">
        <v>1.062</v>
      </c>
      <c r="F69" s="25" t="n">
        <v>12.007</v>
      </c>
    </row>
    <row r="70">
      <c r="A70" s="3" t="inlineStr">
        <is>
          <t>Receivables</t>
        </is>
      </c>
      <c r="C70" s="25" t="n">
        <v>1.673</v>
      </c>
      <c r="D70" s="25" t="n">
        <v>1.152</v>
      </c>
      <c r="E70" s="25" t="n">
        <v>1.4</v>
      </c>
      <c r="F70" s="25" t="n">
        <v>37.726</v>
      </c>
    </row>
    <row r="71">
      <c r="A71" s="3" t="inlineStr">
        <is>
          <t>Taxes Receivable</t>
        </is>
      </c>
      <c r="B71" s="25" t="n">
        <v>1.58</v>
      </c>
      <c r="C71" s="25" t="n">
        <v>1.673</v>
      </c>
      <c r="D71" s="25" t="n">
        <v>1.152</v>
      </c>
    </row>
    <row r="72">
      <c r="A72" s="3" t="inlineStr">
        <is>
          <t>Accounts Receivable</t>
        </is>
      </c>
      <c r="B72" s="25" t="n">
        <v>2.173</v>
      </c>
      <c r="C72" s="25" t="n">
        <v>0</v>
      </c>
      <c r="E72" s="25" t="n">
        <v>1.4</v>
      </c>
      <c r="F72" s="25" t="n">
        <v>37.726</v>
      </c>
    </row>
    <row r="73">
      <c r="A73" s="3" t="inlineStr">
        <is>
          <t>Cash Cash Equivalents And Short Term Investments</t>
        </is>
      </c>
      <c r="C73" s="25" t="n">
        <v>238.588</v>
      </c>
      <c r="D73" s="25" t="n">
        <v>85.622</v>
      </c>
      <c r="E73" s="25" t="n">
        <v>564.9880000000001</v>
      </c>
      <c r="F73" s="25" t="n">
        <v>2335.683</v>
      </c>
    </row>
    <row r="74">
      <c r="A74" s="3" t="inlineStr">
        <is>
          <t>Cash And Cash Equivalents</t>
        </is>
      </c>
      <c r="C74" s="25" t="n">
        <v>238.588</v>
      </c>
      <c r="D74" s="25" t="n">
        <v>85.622</v>
      </c>
      <c r="E74" s="25" t="n">
        <v>564.9880000000001</v>
      </c>
      <c r="F74" s="25" t="n">
        <v>2335.683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ASTS — CF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-213.748</v>
      </c>
      <c r="D5" s="25" t="n">
        <v>-267.749</v>
      </c>
      <c r="E5" s="25" t="n">
        <v>-300.27</v>
      </c>
      <c r="F5" s="25" t="n">
        <v>-1192.655</v>
      </c>
    </row>
    <row r="6">
      <c r="A6" s="3" t="inlineStr">
        <is>
          <t>Repayment Of Debt</t>
        </is>
      </c>
      <c r="C6" s="25" t="n">
        <v>0</v>
      </c>
      <c r="D6" s="25" t="n">
        <v>-0.242</v>
      </c>
      <c r="E6" s="25" t="n">
        <v>-48.752</v>
      </c>
      <c r="F6" s="25" t="n">
        <v>-1008.642</v>
      </c>
    </row>
    <row r="7">
      <c r="A7" s="3" t="inlineStr">
        <is>
          <t>Issuance Of Debt</t>
        </is>
      </c>
      <c r="C7" s="25" t="n">
        <v>0.23</v>
      </c>
      <c r="D7" s="25" t="n">
        <v>63.5</v>
      </c>
      <c r="E7" s="25" t="n">
        <v>145</v>
      </c>
      <c r="F7" s="25" t="n">
        <v>2611.523</v>
      </c>
    </row>
    <row r="8">
      <c r="A8" s="3" t="inlineStr">
        <is>
          <t>Issuance Of Capital Stock</t>
        </is>
      </c>
      <c r="C8" s="25" t="n">
        <v>104.77</v>
      </c>
      <c r="D8" s="25" t="n">
        <v>64.639</v>
      </c>
      <c r="E8" s="25" t="n">
        <v>551.947</v>
      </c>
      <c r="F8" s="25" t="n">
        <v>2306.781</v>
      </c>
    </row>
    <row r="9">
      <c r="A9" s="3" t="inlineStr">
        <is>
          <t>Capital Expenditure</t>
        </is>
      </c>
      <c r="C9" s="25" t="n">
        <v>-57.284</v>
      </c>
      <c r="D9" s="25" t="n">
        <v>-118.807</v>
      </c>
      <c r="E9" s="25" t="n">
        <v>-174.127</v>
      </c>
      <c r="F9" s="25" t="n">
        <v>-1121.138</v>
      </c>
    </row>
    <row r="10">
      <c r="A10" s="3" t="inlineStr">
        <is>
          <t>Interest Paid Supplemental Data</t>
        </is>
      </c>
      <c r="C10" s="25" t="n">
        <v>0.224</v>
      </c>
      <c r="D10" s="25" t="n">
        <v>3.243</v>
      </c>
      <c r="E10" s="25" t="n">
        <v>11.988</v>
      </c>
      <c r="F10" s="25" t="n">
        <v>7.855</v>
      </c>
    </row>
    <row r="11">
      <c r="A11" s="3" t="inlineStr">
        <is>
          <t>Income Tax Paid Supplemental Data</t>
        </is>
      </c>
      <c r="C11" s="25" t="n">
        <v>0.6840000000000001</v>
      </c>
      <c r="D11" s="25" t="n">
        <v>0.492</v>
      </c>
      <c r="E11" s="25" t="n">
        <v>1.669</v>
      </c>
      <c r="F11" s="25" t="n">
        <v>6.798</v>
      </c>
    </row>
    <row r="12">
      <c r="A12" s="3" t="inlineStr">
        <is>
          <t>End Cash Position</t>
        </is>
      </c>
      <c r="C12" s="25" t="n">
        <v>239.256</v>
      </c>
      <c r="D12" s="25" t="n">
        <v>88.09699999999999</v>
      </c>
      <c r="E12" s="25" t="n">
        <v>567.534</v>
      </c>
      <c r="F12" s="25" t="n">
        <v>2779.96</v>
      </c>
    </row>
    <row r="13">
      <c r="A13" s="3" t="inlineStr">
        <is>
          <t>Beginning Cash Position</t>
        </is>
      </c>
      <c r="C13" s="25" t="n">
        <v>324.537</v>
      </c>
      <c r="D13" s="25" t="n">
        <v>239.256</v>
      </c>
      <c r="E13" s="25" t="n">
        <v>88.09699999999999</v>
      </c>
      <c r="F13" s="25" t="n">
        <v>567.534</v>
      </c>
    </row>
    <row r="14">
      <c r="A14" s="3" t="inlineStr">
        <is>
          <t>Effect Of Exchange Rate Changes</t>
        </is>
      </c>
      <c r="C14" s="25" t="n">
        <v>0.195</v>
      </c>
      <c r="D14" s="25" t="n">
        <v>-0.142</v>
      </c>
      <c r="E14" s="25" t="n">
        <v>-0.26</v>
      </c>
      <c r="F14" s="25" t="n">
        <v>-2.407</v>
      </c>
    </row>
    <row r="15">
      <c r="A15" s="3" t="inlineStr">
        <is>
          <t>Changes In Cash</t>
        </is>
      </c>
      <c r="C15" s="25" t="n">
        <v>-85.476</v>
      </c>
      <c r="D15" s="25" t="n">
        <v>-151.017</v>
      </c>
      <c r="E15" s="25" t="n">
        <v>479.697</v>
      </c>
      <c r="F15" s="25" t="n">
        <v>2214.833</v>
      </c>
    </row>
    <row r="16">
      <c r="A16" s="3" t="inlineStr">
        <is>
          <t>Financing Cash Flow</t>
        </is>
      </c>
      <c r="C16" s="25" t="n">
        <v>102.34</v>
      </c>
      <c r="D16" s="25" t="n">
        <v>116.732</v>
      </c>
      <c r="E16" s="25" t="n">
        <v>779.967</v>
      </c>
      <c r="F16" s="25" t="n">
        <v>3827.488</v>
      </c>
    </row>
    <row r="17">
      <c r="A17" s="3" t="inlineStr">
        <is>
          <t>Cash Flow From Continuing Financing Activities</t>
        </is>
      </c>
      <c r="C17" s="25" t="n">
        <v>102.34</v>
      </c>
      <c r="D17" s="25" t="n">
        <v>116.732</v>
      </c>
      <c r="E17" s="25" t="n">
        <v>779.967</v>
      </c>
      <c r="F17" s="25" t="n">
        <v>3827.488</v>
      </c>
    </row>
    <row r="18">
      <c r="A18" s="3" t="inlineStr">
        <is>
          <t>Net Other Financing Charges</t>
        </is>
      </c>
      <c r="C18" s="25" t="n">
        <v>-2.747</v>
      </c>
      <c r="D18" s="25" t="n">
        <v>-11.39</v>
      </c>
      <c r="E18" s="25" t="n">
        <v>-26.787</v>
      </c>
      <c r="F18" s="25" t="n">
        <v>-93.982</v>
      </c>
    </row>
    <row r="19">
      <c r="A19" s="3" t="inlineStr">
        <is>
          <t>Proceeds From Stock Option Exercised</t>
        </is>
      </c>
      <c r="C19" s="25" t="n">
        <v>0.08699999999999999</v>
      </c>
      <c r="D19" s="25" t="n">
        <v>0.225</v>
      </c>
      <c r="E19" s="25" t="n">
        <v>158.559</v>
      </c>
      <c r="F19" s="25" t="n">
        <v>11.808</v>
      </c>
    </row>
    <row r="20">
      <c r="A20" s="3" t="inlineStr">
        <is>
          <t>Net Preferred Stock Issuance</t>
        </is>
      </c>
      <c r="B20" s="25" t="n">
        <v>0</v>
      </c>
    </row>
    <row r="21">
      <c r="A21" s="3" t="inlineStr">
        <is>
          <t>Preferred Stock Issuance</t>
        </is>
      </c>
      <c r="B21" s="25" t="n">
        <v>0</v>
      </c>
    </row>
    <row r="22">
      <c r="A22" s="3" t="inlineStr">
        <is>
          <t>Net Common Stock Issuance</t>
        </is>
      </c>
      <c r="C22" s="25" t="n">
        <v>104.77</v>
      </c>
      <c r="D22" s="25" t="n">
        <v>64.639</v>
      </c>
      <c r="E22" s="25" t="n">
        <v>551.947</v>
      </c>
      <c r="F22" s="25" t="n">
        <v>2306.781</v>
      </c>
    </row>
    <row r="23">
      <c r="A23" s="3" t="inlineStr">
        <is>
          <t>Common Stock Issuance</t>
        </is>
      </c>
      <c r="C23" s="25" t="n">
        <v>104.77</v>
      </c>
      <c r="D23" s="25" t="n">
        <v>64.639</v>
      </c>
      <c r="E23" s="25" t="n">
        <v>551.947</v>
      </c>
      <c r="F23" s="25" t="n">
        <v>2306.781</v>
      </c>
    </row>
    <row r="24">
      <c r="A24" s="3" t="inlineStr">
        <is>
          <t>Net Issuance Payments Of Debt</t>
        </is>
      </c>
      <c r="C24" s="25" t="n">
        <v>0.23</v>
      </c>
      <c r="D24" s="25" t="n">
        <v>63.258</v>
      </c>
      <c r="E24" s="25" t="n">
        <v>96.248</v>
      </c>
      <c r="F24" s="25" t="n">
        <v>1602.881</v>
      </c>
    </row>
    <row r="25">
      <c r="A25" s="3" t="inlineStr">
        <is>
          <t>Net Long Term Debt Issuance</t>
        </is>
      </c>
      <c r="C25" s="25" t="n">
        <v>0.23</v>
      </c>
      <c r="D25" s="25" t="n">
        <v>63.258</v>
      </c>
      <c r="E25" s="25" t="n">
        <v>96.248</v>
      </c>
      <c r="F25" s="25" t="n">
        <v>1602.881</v>
      </c>
    </row>
    <row r="26">
      <c r="A26" s="3" t="inlineStr">
        <is>
          <t>Long Term Debt Payments</t>
        </is>
      </c>
      <c r="C26" s="25" t="n">
        <v>0</v>
      </c>
      <c r="D26" s="25" t="n">
        <v>-0.242</v>
      </c>
      <c r="E26" s="25" t="n">
        <v>-48.752</v>
      </c>
      <c r="F26" s="25" t="n">
        <v>-1008.642</v>
      </c>
    </row>
    <row r="27">
      <c r="A27" s="3" t="inlineStr">
        <is>
          <t>Long Term Debt Issuance</t>
        </is>
      </c>
      <c r="C27" s="25" t="n">
        <v>0.23</v>
      </c>
      <c r="D27" s="25" t="n">
        <v>63.5</v>
      </c>
      <c r="E27" s="25" t="n">
        <v>145</v>
      </c>
      <c r="F27" s="25" t="n">
        <v>2611.523</v>
      </c>
    </row>
    <row r="28">
      <c r="A28" s="3" t="inlineStr">
        <is>
          <t>Investing Cash Flow</t>
        </is>
      </c>
      <c r="C28" s="25" t="n">
        <v>-31.352</v>
      </c>
      <c r="D28" s="25" t="n">
        <v>-118.807</v>
      </c>
      <c r="E28" s="25" t="n">
        <v>-174.127</v>
      </c>
      <c r="F28" s="25" t="n">
        <v>-1541.138</v>
      </c>
    </row>
    <row r="29">
      <c r="A29" s="3" t="inlineStr">
        <is>
          <t>Cash Flow From Continuing Investing Activities</t>
        </is>
      </c>
      <c r="C29" s="25" t="n">
        <v>-31.352</v>
      </c>
      <c r="D29" s="25" t="n">
        <v>-118.807</v>
      </c>
      <c r="E29" s="25" t="n">
        <v>-174.127</v>
      </c>
      <c r="F29" s="25" t="n">
        <v>-1541.138</v>
      </c>
    </row>
    <row r="30">
      <c r="A30" s="3" t="inlineStr">
        <is>
          <t>Net Other Investing Changes</t>
        </is>
      </c>
      <c r="F30" s="25" t="n">
        <v>-420</v>
      </c>
    </row>
    <row r="31">
      <c r="A31" s="3" t="inlineStr">
        <is>
          <t>Net Business Purchase And Sale</t>
        </is>
      </c>
      <c r="B31" s="25" t="n">
        <v>0</v>
      </c>
      <c r="C31" s="25" t="n">
        <v>25.932</v>
      </c>
      <c r="D31" s="25" t="n">
        <v>0</v>
      </c>
      <c r="E31" s="25" t="n">
        <v>0</v>
      </c>
    </row>
    <row r="32">
      <c r="A32" s="3" t="inlineStr">
        <is>
          <t>Sale Of Business</t>
        </is>
      </c>
      <c r="B32" s="25" t="n">
        <v>0</v>
      </c>
      <c r="C32" s="25" t="n">
        <v>25.932</v>
      </c>
      <c r="D32" s="25" t="n">
        <v>0</v>
      </c>
      <c r="E32" s="25" t="n">
        <v>0</v>
      </c>
    </row>
    <row r="33">
      <c r="A33" s="3" t="inlineStr">
        <is>
          <t>Net Intangibles Purchase And Sale</t>
        </is>
      </c>
      <c r="B33" s="25" t="n">
        <v>0</v>
      </c>
      <c r="D33" s="25" t="n">
        <v>0</v>
      </c>
      <c r="E33" s="25" t="n">
        <v>0</v>
      </c>
      <c r="F33" s="25" t="n">
        <v>-56.397</v>
      </c>
    </row>
    <row r="34">
      <c r="A34" s="3" t="inlineStr">
        <is>
          <t>Purchase Of Intangibles</t>
        </is>
      </c>
      <c r="B34" s="25" t="n">
        <v>0</v>
      </c>
      <c r="D34" s="25" t="n">
        <v>0</v>
      </c>
      <c r="E34" s="25" t="n">
        <v>0</v>
      </c>
      <c r="F34" s="25" t="n">
        <v>-56.397</v>
      </c>
    </row>
    <row r="35">
      <c r="A35" s="3" t="inlineStr">
        <is>
          <t>Net PPE Purchase And Sale</t>
        </is>
      </c>
      <c r="C35" s="25" t="n">
        <v>-57.284</v>
      </c>
      <c r="D35" s="25" t="n">
        <v>-118.807</v>
      </c>
      <c r="E35" s="25" t="n">
        <v>-174.127</v>
      </c>
      <c r="F35" s="25" t="n">
        <v>-1064.741</v>
      </c>
    </row>
    <row r="36">
      <c r="A36" s="3" t="inlineStr">
        <is>
          <t>Purchase Of PPE</t>
        </is>
      </c>
      <c r="C36" s="25" t="n">
        <v>-57.284</v>
      </c>
      <c r="D36" s="25" t="n">
        <v>-118.807</v>
      </c>
      <c r="E36" s="25" t="n">
        <v>-174.127</v>
      </c>
      <c r="F36" s="25" t="n">
        <v>-1064.741</v>
      </c>
    </row>
    <row r="37">
      <c r="A37" s="3" t="inlineStr">
        <is>
          <t>Operating Cash Flow</t>
        </is>
      </c>
      <c r="C37" s="25" t="n">
        <v>-156.464</v>
      </c>
      <c r="D37" s="25" t="n">
        <v>-148.942</v>
      </c>
      <c r="E37" s="25" t="n">
        <v>-126.143</v>
      </c>
      <c r="F37" s="25" t="n">
        <v>-71.517</v>
      </c>
    </row>
    <row r="38">
      <c r="A38" s="3" t="inlineStr">
        <is>
          <t>Cash Flow From Continuing Operating Activities</t>
        </is>
      </c>
      <c r="C38" s="25" t="n">
        <v>-156.464</v>
      </c>
      <c r="D38" s="25" t="n">
        <v>-148.942</v>
      </c>
      <c r="E38" s="25" t="n">
        <v>-126.143</v>
      </c>
      <c r="F38" s="25" t="n">
        <v>-71.517</v>
      </c>
    </row>
    <row r="39">
      <c r="A39" s="3" t="inlineStr">
        <is>
          <t>Change In Working Capital</t>
        </is>
      </c>
      <c r="C39" s="25" t="n">
        <v>-24.434</v>
      </c>
      <c r="D39" s="25" t="n">
        <v>13.698</v>
      </c>
      <c r="E39" s="25" t="n">
        <v>21.784</v>
      </c>
      <c r="F39" s="25" t="n">
        <v>109.69</v>
      </c>
    </row>
    <row r="40">
      <c r="A40" s="3" t="inlineStr">
        <is>
          <t>Change In Other Working Capital</t>
        </is>
      </c>
      <c r="C40" s="25" t="n">
        <v>-13.83</v>
      </c>
      <c r="D40" s="25" t="n">
        <v>1.765</v>
      </c>
      <c r="E40" s="25" t="n">
        <v>42.057</v>
      </c>
      <c r="F40" s="25" t="n">
        <v>152.332</v>
      </c>
    </row>
    <row r="41">
      <c r="A41" s="3" t="inlineStr">
        <is>
          <t>Change In Other Current Liabilities</t>
        </is>
      </c>
      <c r="B41" s="25" t="n">
        <v>-0.398</v>
      </c>
      <c r="C41" s="25" t="n">
        <v>-0.68</v>
      </c>
    </row>
    <row r="42">
      <c r="A42" s="3" t="inlineStr">
        <is>
          <t>Change In Payables And Accrued Expense</t>
        </is>
      </c>
      <c r="B42" s="25" t="n">
        <v>2.091</v>
      </c>
      <c r="C42" s="25" t="n">
        <v>18.438</v>
      </c>
    </row>
    <row r="43">
      <c r="A43" s="3" t="inlineStr">
        <is>
          <t>Change In Prepaid Assets</t>
        </is>
      </c>
      <c r="C43" s="25" t="n">
        <v>-24.588</v>
      </c>
      <c r="D43" s="25" t="n">
        <v>13.862</v>
      </c>
      <c r="E43" s="25" t="n">
        <v>-13.334</v>
      </c>
      <c r="F43" s="25" t="n">
        <v>-27.622</v>
      </c>
    </row>
    <row r="44">
      <c r="A44" s="3" t="inlineStr">
        <is>
          <t>Change In Inventory</t>
        </is>
      </c>
      <c r="C44" s="25" t="n">
        <v>-2.461</v>
      </c>
      <c r="D44" s="25" t="n">
        <v>0</v>
      </c>
      <c r="E44" s="25" t="n">
        <v>-1.062</v>
      </c>
      <c r="F44" s="25" t="n">
        <v>-10.945</v>
      </c>
    </row>
    <row r="45">
      <c r="A45" s="3" t="inlineStr">
        <is>
          <t>Change In Receivables</t>
        </is>
      </c>
      <c r="C45" s="25" t="n">
        <v>16.445</v>
      </c>
      <c r="D45" s="25" t="n">
        <v>-1.929</v>
      </c>
      <c r="E45" s="25" t="n">
        <v>-5.877</v>
      </c>
      <c r="F45" s="25" t="n">
        <v>-4.075</v>
      </c>
    </row>
    <row r="46">
      <c r="A46" s="3" t="inlineStr">
        <is>
          <t>Changes In Account Receivables</t>
        </is>
      </c>
      <c r="C46" s="25" t="n">
        <v>16.445</v>
      </c>
      <c r="D46" s="25" t="n">
        <v>-1.929</v>
      </c>
      <c r="E46" s="25" t="n">
        <v>-5.877</v>
      </c>
      <c r="F46" s="25" t="n">
        <v>-4.075</v>
      </c>
    </row>
    <row r="47">
      <c r="A47" s="3" t="inlineStr">
        <is>
          <t>Other Non Cash Items</t>
        </is>
      </c>
      <c r="C47" s="25" t="n">
        <v>0.332</v>
      </c>
      <c r="D47" s="25" t="n">
        <v>1.155</v>
      </c>
      <c r="E47" s="25" t="n">
        <v>12.176</v>
      </c>
      <c r="F47" s="25" t="n">
        <v>107.239</v>
      </c>
    </row>
    <row r="48">
      <c r="A48" s="3" t="inlineStr">
        <is>
          <t>Stock Based Compensation</t>
        </is>
      </c>
      <c r="C48" s="25" t="n">
        <v>9.391</v>
      </c>
      <c r="D48" s="25" t="n">
        <v>13.289</v>
      </c>
      <c r="E48" s="25" t="n">
        <v>32.039</v>
      </c>
      <c r="F48" s="25" t="n">
        <v>47.49</v>
      </c>
    </row>
    <row r="49">
      <c r="A49" s="3" t="inlineStr">
        <is>
          <t>Depreciation Amortization Depletion</t>
        </is>
      </c>
      <c r="C49" s="25" t="n">
        <v>4.711</v>
      </c>
      <c r="D49" s="25" t="n">
        <v>54.469</v>
      </c>
      <c r="E49" s="25" t="n">
        <v>63.34</v>
      </c>
      <c r="F49" s="25" t="n">
        <v>51.111</v>
      </c>
    </row>
    <row r="50">
      <c r="A50" s="3" t="inlineStr">
        <is>
          <t>Depreciation And Amortization</t>
        </is>
      </c>
      <c r="C50" s="25" t="n">
        <v>4.711</v>
      </c>
      <c r="D50" s="25" t="n">
        <v>54.469</v>
      </c>
      <c r="E50" s="25" t="n">
        <v>63.34</v>
      </c>
      <c r="F50" s="25" t="n">
        <v>51.111</v>
      </c>
    </row>
    <row r="51">
      <c r="A51" s="3" t="inlineStr">
        <is>
          <t>Amortization Cash Flow</t>
        </is>
      </c>
      <c r="B51" s="25" t="n">
        <v>0.224</v>
      </c>
    </row>
    <row r="52">
      <c r="A52" s="3" t="inlineStr">
        <is>
          <t>Amortization Of Intangibles</t>
        </is>
      </c>
      <c r="B52" s="25" t="n">
        <v>0.224</v>
      </c>
    </row>
    <row r="53">
      <c r="A53" s="3" t="inlineStr">
        <is>
          <t>Depreciation</t>
        </is>
      </c>
      <c r="B53" s="25" t="n">
        <v>2.689</v>
      </c>
    </row>
    <row r="54">
      <c r="A54" s="3" t="inlineStr">
        <is>
          <t>Operating Gains Losses</t>
        </is>
      </c>
      <c r="C54" s="25" t="n">
        <v>-43.351</v>
      </c>
      <c r="D54" s="25" t="n">
        <v>-8.875999999999999</v>
      </c>
      <c r="E54" s="25" t="n">
        <v>270.848</v>
      </c>
      <c r="F54" s="25" t="n">
        <v>73.964</v>
      </c>
    </row>
    <row r="55">
      <c r="A55" s="3" t="inlineStr">
        <is>
          <t>Earnings Losses From Equity Investments</t>
        </is>
      </c>
      <c r="D55" s="25" t="n">
        <v>0</v>
      </c>
      <c r="E55" s="25" t="n">
        <v>0</v>
      </c>
      <c r="F55" s="25" t="n">
        <v>1.205</v>
      </c>
    </row>
    <row r="56">
      <c r="A56" s="3" t="inlineStr">
        <is>
          <t>Gain Loss On Investment Securities</t>
        </is>
      </c>
      <c r="C56" s="25" t="n">
        <v>-19.114</v>
      </c>
      <c r="D56" s="25" t="n">
        <v>-8.986000000000001</v>
      </c>
      <c r="E56" s="25" t="n">
        <v>268.627</v>
      </c>
      <c r="F56" s="25" t="n">
        <v>68.154</v>
      </c>
    </row>
    <row r="57">
      <c r="A57" s="3" t="inlineStr">
        <is>
          <t>Gain Loss On Sale Of PPE</t>
        </is>
      </c>
      <c r="C57" s="25" t="n">
        <v>0.305</v>
      </c>
      <c r="D57" s="25" t="n">
        <v>0.11</v>
      </c>
      <c r="E57" s="25" t="n">
        <v>2.221</v>
      </c>
      <c r="F57" s="25" t="n">
        <v>4.605</v>
      </c>
    </row>
    <row r="58">
      <c r="A58" s="3" t="inlineStr">
        <is>
          <t>Gain Loss On Sale Of Business</t>
        </is>
      </c>
      <c r="B58" s="25" t="n">
        <v>0</v>
      </c>
      <c r="C58" s="25" t="n">
        <v>-24.542</v>
      </c>
      <c r="D58" s="25" t="n">
        <v>0</v>
      </c>
      <c r="E58" s="25" t="n">
        <v>0</v>
      </c>
    </row>
    <row r="59">
      <c r="A59" s="3" t="inlineStr">
        <is>
          <t>Net Income From Continuing Operations</t>
        </is>
      </c>
      <c r="C59" s="25" t="n">
        <v>-103.113</v>
      </c>
      <c r="D59" s="25" t="n">
        <v>-222.677</v>
      </c>
      <c r="E59" s="25" t="n">
        <v>-526.33</v>
      </c>
      <c r="F59" s="25" t="n">
        <v>-461.011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2026-10-16T08:00:01Z</dcterms:created>
  <dcterms:modified xmlns:dcterms="http://purl.org/dc/terms/" xmlns:xsi="http://www.w3.org/2001/XMLSchema-instance" xsi:type="dcterms:W3CDTF">2026-10-16T08:00:01Z</dcterms:modified>
</cp:coreProperties>
</file>