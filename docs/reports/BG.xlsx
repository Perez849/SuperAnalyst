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arget Price" sheetId="2" state="visible" r:id="rId2"/>
    <sheet xmlns:r="http://schemas.openxmlformats.org/officeDocument/2006/relationships" name="Financial Model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DCF" sheetId="7" state="visible" r:id="rId7"/>
    <sheet xmlns:r="http://schemas.openxmlformats.org/officeDocument/2006/relationships" name="Sensitivity" sheetId="8" state="visible" r:id="rId8"/>
    <sheet xmlns:r="http://schemas.openxmlformats.org/officeDocument/2006/relationships" name="DDM" sheetId="9" state="visible" r:id="rId9"/>
    <sheet xmlns:r="http://schemas.openxmlformats.org/officeDocument/2006/relationships" name="IS (reported)" sheetId="10" state="visible" r:id="rId10"/>
    <sheet xmlns:r="http://schemas.openxmlformats.org/officeDocument/2006/relationships" name="BS (reported)" sheetId="11" state="visible" r:id="rId11"/>
    <sheet xmlns:r="http://schemas.openxmlformats.org/officeDocument/2006/relationships" name="CF (reported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;(#,##0.00);&quot;-&quot;"/>
    <numFmt numFmtId="165" formatCode="#,##0;(#,##0);&quot;-&quot;"/>
    <numFmt numFmtId="166" formatCode="0.00%;(0.00%);&quot;-&quot;"/>
    <numFmt numFmtId="167" formatCode="0.0%;(0.0%);&quot;-&quot;"/>
    <numFmt numFmtId="168" formatCode="0.0"/>
    <numFmt numFmtId="169" formatCode="0.000"/>
  </numFmts>
  <fonts count="12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B6F76"/>
      <sz val="9"/>
    </font>
    <font>
      <name val="Arial"/>
      <b val="1"/>
      <color rgb="000F6466"/>
      <sz val="11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008000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b val="1"/>
      <color rgb="00008000"/>
      <sz val="10"/>
    </font>
    <font>
      <name val="Arial"/>
      <b val="1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0E1116"/>
      </patternFill>
    </fill>
    <fill>
      <patternFill patternType="solid">
        <fgColor rgb="00F1F0EA"/>
      </patternFill>
    </fill>
  </fills>
  <borders count="3">
    <border>
      <left/>
      <right/>
      <top/>
      <bottom/>
      <diagonal/>
    </border>
    <border>
      <top style="double"/>
    </border>
    <border>
      <top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64" fontId="7" fillId="0" borderId="0" pivotButton="0" quotePrefix="0" xfId="0"/>
    <xf numFmtId="167" fontId="10" fillId="0" borderId="0" pivotButton="0" quotePrefix="0" xfId="0"/>
    <xf numFmtId="164" fontId="5" fillId="0" borderId="0" pivotButton="0" quotePrefix="0" xfId="0"/>
    <xf numFmtId="166" fontId="7" fillId="0" borderId="0" pivotButton="0" quotePrefix="0" xfId="0"/>
    <xf numFmtId="0" fontId="3" fillId="0" borderId="0" pivotButton="0" quotePrefix="0" xfId="0"/>
    <xf numFmtId="0" fontId="6" fillId="3" borderId="0" applyAlignment="1" pivotButton="0" quotePrefix="0" xfId="0">
      <alignment horizontal="left"/>
    </xf>
    <xf numFmtId="0" fontId="6" fillId="3" borderId="0" applyAlignment="1" pivotButton="0" quotePrefix="0" xfId="0">
      <alignment horizontal="right"/>
    </xf>
    <xf numFmtId="167" fontId="5" fillId="0" borderId="0" pivotButton="0" quotePrefix="0" xfId="0"/>
    <xf numFmtId="167" fontId="4" fillId="0" borderId="0" pivotButton="0" quotePrefix="0" xfId="0"/>
    <xf numFmtId="0" fontId="8" fillId="0" borderId="0" pivotButton="0" quotePrefix="0" xfId="0"/>
    <xf numFmtId="164" fontId="9" fillId="0" borderId="2" pivotButton="0" quotePrefix="0" xfId="0"/>
    <xf numFmtId="166" fontId="5" fillId="0" borderId="0" pivotButton="0" quotePrefix="0" xfId="0"/>
    <xf numFmtId="164" fontId="4" fillId="0" borderId="0" pivotButton="0" quotePrefix="0" xfId="0"/>
    <xf numFmtId="164" fontId="9" fillId="0" borderId="1" pivotButton="0" quotePrefix="0" xfId="0"/>
    <xf numFmtId="165" fontId="5" fillId="0" borderId="0" pivotButton="0" quotePrefix="0" xfId="0"/>
    <xf numFmtId="165" fontId="4" fillId="0" borderId="0" pivotButton="0" quotePrefix="0" xfId="0"/>
    <xf numFmtId="165" fontId="11" fillId="0" borderId="2" pivotButton="0" quotePrefix="0" xfId="0"/>
    <xf numFmtId="166" fontId="5" fillId="2" borderId="0" pivotButton="0" quotePrefix="0" xfId="0"/>
    <xf numFmtId="2" fontId="5" fillId="2" borderId="0" pivotButton="0" quotePrefix="0" xfId="0"/>
    <xf numFmtId="165" fontId="7" fillId="0" borderId="0" pivotButton="0" quotePrefix="0" xfId="0"/>
    <xf numFmtId="166" fontId="9" fillId="0" borderId="1" pivotButton="0" quotePrefix="0" xfId="0"/>
    <xf numFmtId="165" fontId="5" fillId="4" borderId="0" pivotButton="0" quotePrefix="0" xfId="0"/>
    <xf numFmtId="167" fontId="4" fillId="4" borderId="0" pivotButton="0" quotePrefix="0" xfId="0"/>
    <xf numFmtId="165" fontId="4" fillId="4" borderId="0" pivotButton="0" quotePrefix="0" xfId="0"/>
    <xf numFmtId="165" fontId="7" fillId="4" borderId="0" pivotButton="0" quotePrefix="0" xfId="0"/>
    <xf numFmtId="165" fontId="9" fillId="4" borderId="2" pivotButton="0" quotePrefix="0" xfId="0"/>
    <xf numFmtId="165" fontId="9" fillId="0" borderId="2" pivotButton="0" quotePrefix="0" xfId="0"/>
    <xf numFmtId="168" fontId="4" fillId="0" borderId="0" pivotButton="0" quotePrefix="0" xfId="0"/>
    <xf numFmtId="169" fontId="7" fillId="0" borderId="0" pivotButton="0" quotePrefix="0" xfId="0"/>
    <xf numFmtId="167" fontId="7" fillId="0" borderId="0" pivotButton="0" quotePrefix="0" xfId="0"/>
    <xf numFmtId="164" fontId="9" fillId="0" borderId="0" pivotButton="0" quotePrefix="0" xfId="0"/>
    <xf numFmtId="167" fontId="10" fillId="0" borderId="1" pivotButton="0" quotePrefix="0" xfId="0"/>
    <xf numFmtId="167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</cols>
  <sheetData>
    <row r="1">
      <c r="A1" s="1" t="inlineStr">
        <is>
          <t>Bunge Global SA (BG)</t>
        </is>
      </c>
    </row>
    <row r="2">
      <c r="A2" s="2" t="inlineStr">
        <is>
          <t>Consumer Defensive · Standard (forward multiples + DCF) · generated 2026-10-13 · data: yfinance</t>
        </is>
      </c>
    </row>
    <row r="4">
      <c r="A4" s="3" t="inlineStr">
        <is>
          <t>Current price</t>
        </is>
      </c>
      <c r="B4" s="4">
        <f>Assumptions!$B$5</f>
        <v/>
      </c>
    </row>
    <row r="5">
      <c r="A5" s="3" t="inlineStr">
        <is>
          <t>DCF value per share (one lens)</t>
        </is>
      </c>
      <c r="B5" s="4">
        <f>DCF!$B$24</f>
        <v/>
      </c>
    </row>
    <row r="6">
      <c r="A6" s="3" t="inlineStr">
        <is>
          <t>Upside / downside</t>
        </is>
      </c>
      <c r="B6" s="5">
        <f>DCF!$B$24/Assumptions!$B$5-1</f>
        <v/>
      </c>
    </row>
    <row r="7">
      <c r="A7" s="3" t="inlineStr">
        <is>
          <t>12-month price target (report)</t>
        </is>
      </c>
      <c r="B7" s="6" t="n">
        <v>195.4262951044352</v>
      </c>
    </row>
    <row r="8">
      <c r="A8" s="3" t="inlineStr">
        <is>
          <t>WACC</t>
        </is>
      </c>
      <c r="B8" s="7">
        <f>WACC!$B$10</f>
        <v/>
      </c>
    </row>
    <row r="10">
      <c r="A10" s="8" t="inlineStr">
        <is>
          <t>How to use</t>
        </is>
      </c>
    </row>
    <row r="11">
      <c r="A11" s="2" t="inlineStr">
        <is>
          <t>Blue cells are inputs — edit growth, margins, beta, ERP or terminal g</t>
        </is>
      </c>
    </row>
    <row r="12">
      <c r="A12" s="2" t="inlineStr">
        <is>
          <t>in the Assumptions sheet and everything recalculates live.</t>
        </is>
      </c>
    </row>
    <row r="13">
      <c r="A13" s="2" t="inlineStr">
        <is>
          <t>Black cells are formulas; green cells link across sheets.</t>
        </is>
      </c>
    </row>
    <row r="14">
      <c r="A14" s="2" t="inlineStr">
        <is>
          <t>The Sensitivity grid re-runs the full DCF per WACC/g pair.</t>
        </is>
      </c>
    </row>
    <row r="15">
      <c r="A15" s="2" t="inlineStr">
        <is>
          <t>Not investment advice. Verify source data before relying on outputs.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BG — 12-month price target (lens triangulation)</t>
        </is>
      </c>
    </row>
    <row r="2">
      <c r="A2" s="2" t="inlineStr">
        <is>
          <t>Blue = inputs (weights, Ke, dividends, Street weight); black = live formulas. Change a weight and the blended fair value and target recalculate. Guardrail exclusions are already reflected in the effective weights.</t>
        </is>
      </c>
    </row>
    <row r="4">
      <c r="A4" s="9" t="inlineStr">
        <is>
          <t>Lens</t>
        </is>
      </c>
      <c r="B4" s="10" t="inlineStr">
        <is>
          <t>Type</t>
        </is>
      </c>
      <c r="C4" s="10" t="inlineStr">
        <is>
          <t>Value / share</t>
        </is>
      </c>
      <c r="D4" s="10" t="inlineStr">
        <is>
          <t>Low</t>
        </is>
      </c>
      <c r="E4" s="10" t="inlineStr">
        <is>
          <t>High</t>
        </is>
      </c>
      <c r="F4" s="10" t="inlineStr">
        <is>
          <t>Weight</t>
        </is>
      </c>
      <c r="G4" s="10" t="inlineStr">
        <is>
          <t>Status</t>
        </is>
      </c>
    </row>
    <row r="5">
      <c r="A5" s="3" t="inlineStr">
        <is>
          <t>Discounted cash flow (FCFF)</t>
        </is>
      </c>
      <c r="B5" s="2" t="inlineStr">
        <is>
          <t>intrinsic</t>
        </is>
      </c>
      <c r="C5" s="6" t="n">
        <v>117.597822768598</v>
      </c>
      <c r="D5" s="6" t="n">
        <v>0</v>
      </c>
      <c r="E5" s="6" t="n">
        <v>309.8264870039636</v>
      </c>
      <c r="F5" s="11" t="n">
        <v>0.3723404255319149</v>
      </c>
      <c r="G5" s="2" t="inlineStr">
        <is>
          <t>ok</t>
        </is>
      </c>
    </row>
    <row r="6">
      <c r="A6" s="3" t="inlineStr">
        <is>
          <t>Forward P/E</t>
        </is>
      </c>
      <c r="B6" s="2" t="inlineStr">
        <is>
          <t>relative</t>
        </is>
      </c>
      <c r="C6" s="6" t="n">
        <v>226.1189601</v>
      </c>
      <c r="D6" s="6" t="n">
        <v>185.417547282</v>
      </c>
      <c r="E6" s="6" t="n">
        <v>266.820372918</v>
      </c>
      <c r="F6" s="11" t="n">
        <v>0.3191489361702128</v>
      </c>
      <c r="G6" s="2" t="inlineStr">
        <is>
          <t>ok</t>
        </is>
      </c>
    </row>
    <row r="7">
      <c r="A7" s="3" t="inlineStr">
        <is>
          <t>Forward EV/EBITDA</t>
        </is>
      </c>
      <c r="B7" s="2" t="inlineStr">
        <is>
          <t>relative</t>
        </is>
      </c>
      <c r="C7" s="6" t="n">
        <v>297.8919726921084</v>
      </c>
      <c r="D7" s="6" t="n">
        <v>230.0592977656118</v>
      </c>
      <c r="E7" s="6" t="n">
        <v>365.7246476186049</v>
      </c>
      <c r="F7" s="11" t="n">
        <v>0.2659574468085106</v>
      </c>
      <c r="G7" s="2" t="inlineStr">
        <is>
          <t>ok</t>
        </is>
      </c>
    </row>
    <row r="8">
      <c r="A8" s="3" t="inlineStr">
        <is>
          <t>Multi-stage dividend discount</t>
        </is>
      </c>
      <c r="B8" s="2" t="inlineStr">
        <is>
          <t>sector</t>
        </is>
      </c>
      <c r="C8" s="6" t="n">
        <v>55.01862219763841</v>
      </c>
      <c r="D8" s="6" t="n">
        <v>44.01489775811073</v>
      </c>
      <c r="E8" s="6" t="n">
        <v>66.02234663716608</v>
      </c>
      <c r="F8" s="11" t="n">
        <v>0.04255319148936171</v>
      </c>
      <c r="G8" s="2" t="inlineStr">
        <is>
          <t>ok — down-weighted: 0.3x the median of the other lenses</t>
        </is>
      </c>
    </row>
    <row r="10">
      <c r="A10" s="3" t="inlineStr">
        <is>
          <t>Weights sum</t>
        </is>
      </c>
      <c r="B10" s="12">
        <f>SUM(F5:F8)</f>
        <v/>
      </c>
    </row>
    <row r="11">
      <c r="A11" s="13" t="inlineStr">
        <is>
          <t>Blended fair value (today)</t>
        </is>
      </c>
      <c r="B11" s="14">
        <f>SUMPRODUCT(C5:C8,F5:F8)/SUM(F5:F8)</f>
        <v/>
      </c>
    </row>
    <row r="12">
      <c r="A12" s="3" t="inlineStr">
        <is>
          <t>Cost of equity (Ke)</t>
        </is>
      </c>
      <c r="B12" s="15" t="n">
        <v>0.08299961937787154</v>
      </c>
    </row>
    <row r="13">
      <c r="A13" s="3" t="inlineStr">
        <is>
          <t>Dividends per share (12m)</t>
        </is>
      </c>
      <c r="B13" s="6" t="n">
        <v>2.88</v>
      </c>
    </row>
    <row r="14">
      <c r="A14" s="3" t="inlineStr">
        <is>
          <t>Model 12-month target = FV×(1+Ke)−DPS</t>
        </is>
      </c>
      <c r="B14" s="16">
        <f>$B$11*(1+$B$12)-$B$13</f>
        <v/>
      </c>
    </row>
    <row r="15">
      <c r="A15" s="3" t="inlineStr">
        <is>
          <t>Street mean target</t>
        </is>
      </c>
      <c r="B15" s="6" t="n">
        <v>141.66667</v>
      </c>
    </row>
    <row r="16">
      <c r="A16" s="3" t="inlineStr">
        <is>
          <t>Street weight in target</t>
        </is>
      </c>
      <c r="B16" s="11" t="n">
        <v>0.225</v>
      </c>
    </row>
    <row r="17">
      <c r="A17" s="13" t="inlineStr">
        <is>
          <t>Published 12-month target</t>
        </is>
      </c>
      <c r="B17" s="17">
        <f>(1-$B$16)*$B$14+$B$16*$B$15</f>
        <v/>
      </c>
    </row>
    <row r="18">
      <c r="A18" s="3" t="inlineStr">
        <is>
          <t>Current price</t>
        </is>
      </c>
      <c r="B18" s="6" t="n">
        <v>106.915</v>
      </c>
    </row>
    <row r="19">
      <c r="A19" s="3" t="inlineStr">
        <is>
          <t>Engine target (incl. plausibility band)</t>
        </is>
      </c>
      <c r="B19" s="6" t="n">
        <v>195.4262951044352</v>
      </c>
    </row>
    <row r="21">
      <c r="A21" s="8" t="inlineStr">
        <is>
          <t>Guardrails</t>
        </is>
      </c>
    </row>
    <row r="22">
      <c r="A22" s="2" t="inlineStr">
        <is>
          <t>Multi-stage dividend discount sits 0.3x the lens median and was down-weighted by 60%.</t>
        </is>
      </c>
    </row>
    <row r="23">
      <c r="A23" s="2" t="inlineStr">
        <is>
          <t>Target anchored 22% to the Street consensus ($141.67, 9 analysts); model-only target $211.03.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BG — projected P&amp;L &amp; levered FCF (DCF base case)</t>
        </is>
      </c>
    </row>
    <row r="2">
      <c r="A2" s="2" t="inlineStr">
        <is>
          <t>Blue = consensus-sourced figures; black = live formulas. Revenue and EBIT margin are the DCF base-case drivers; levered FCF = unlevered FCF less after-tax interest.</t>
        </is>
      </c>
    </row>
    <row r="4">
      <c r="A4" s="9" t="inlineStr">
        <is>
          <t>Line item</t>
        </is>
      </c>
      <c r="B4" s="10" t="inlineStr">
        <is>
          <t>FY2026E</t>
        </is>
      </c>
      <c r="C4" s="10" t="inlineStr">
        <is>
          <t>FY2027E</t>
        </is>
      </c>
      <c r="D4" s="10" t="inlineStr">
        <is>
          <t>FY2028E</t>
        </is>
      </c>
      <c r="E4" s="10" t="inlineStr">
        <is>
          <t>FY2029E</t>
        </is>
      </c>
      <c r="F4" s="10" t="inlineStr">
        <is>
          <t>FY2030E</t>
        </is>
      </c>
      <c r="G4" s="10" t="inlineStr">
        <is>
          <t>FY2031E</t>
        </is>
      </c>
      <c r="H4" s="10" t="inlineStr">
        <is>
          <t>FY2032E</t>
        </is>
      </c>
      <c r="I4" s="10" t="inlineStr">
        <is>
          <t>FY2033E</t>
        </is>
      </c>
      <c r="J4" s="10" t="inlineStr">
        <is>
          <t>FY2034E</t>
        </is>
      </c>
      <c r="K4" s="10" t="inlineStr">
        <is>
          <t>FY2035E</t>
        </is>
      </c>
    </row>
    <row r="5">
      <c r="A5" s="13" t="inlineStr">
        <is>
          <t>Revenue (mn)</t>
        </is>
      </c>
      <c r="B5" s="18" t="n">
        <v>91737.36566</v>
      </c>
      <c r="C5" s="18" t="n">
        <v>94229.39511</v>
      </c>
      <c r="D5" s="19" t="n">
        <v>96725.40501890103</v>
      </c>
      <c r="E5" s="19" t="n">
        <v>99242.55623559438</v>
      </c>
      <c r="F5" s="19" t="n">
        <v>101793.4810796856</v>
      </c>
      <c r="G5" s="19" t="n">
        <v>104387.5932264507</v>
      </c>
      <c r="H5" s="19" t="n">
        <v>107032.0309006487</v>
      </c>
      <c r="I5" s="19" t="n">
        <v>109732.331554981</v>
      </c>
      <c r="J5" s="19" t="n">
        <v>112492.9123788349</v>
      </c>
      <c r="K5" s="19" t="n">
        <v>115305.2351883057</v>
      </c>
    </row>
    <row r="6">
      <c r="A6" s="3" t="inlineStr">
        <is>
          <t>Revenue growth</t>
        </is>
      </c>
      <c r="B6" s="3" t="inlineStr">
        <is>
          <t>—</t>
        </is>
      </c>
      <c r="C6" s="12">
        <f>C5/B5-1</f>
        <v/>
      </c>
      <c r="D6" s="12">
        <f>D5/C5-1</f>
        <v/>
      </c>
      <c r="E6" s="12">
        <f>E5/D5-1</f>
        <v/>
      </c>
      <c r="F6" s="12">
        <f>F5/E5-1</f>
        <v/>
      </c>
      <c r="G6" s="12">
        <f>G5/F5-1</f>
        <v/>
      </c>
      <c r="H6" s="12">
        <f>H5/G5-1</f>
        <v/>
      </c>
      <c r="I6" s="12">
        <f>I5/H5-1</f>
        <v/>
      </c>
      <c r="J6" s="12">
        <f>J5/I5-1</f>
        <v/>
      </c>
      <c r="K6" s="12">
        <f>K5/J5-1</f>
        <v/>
      </c>
    </row>
    <row r="7">
      <c r="A7" s="3" t="inlineStr">
        <is>
          <t>EBIT margin</t>
        </is>
      </c>
      <c r="B7" s="11" t="n">
        <v>0.03254612658643233</v>
      </c>
      <c r="C7" s="11" t="n">
        <v>0.03614675061004817</v>
      </c>
      <c r="D7" s="11" t="n">
        <v>0.03603751342024587</v>
      </c>
      <c r="E7" s="11" t="n">
        <v>0.03592827623044357</v>
      </c>
      <c r="F7" s="11" t="n">
        <v>0.03581903904064127</v>
      </c>
      <c r="G7" s="11" t="n">
        <v>0.03570980185083896</v>
      </c>
      <c r="H7" s="11" t="n">
        <v>0.03560056466103666</v>
      </c>
      <c r="I7" s="11" t="n">
        <v>0.03549132747123436</v>
      </c>
      <c r="J7" s="11" t="n">
        <v>0.03549132747123436</v>
      </c>
      <c r="K7" s="11" t="n">
        <v>0.03549132747123436</v>
      </c>
    </row>
    <row r="8">
      <c r="A8" s="3" t="inlineStr">
        <is>
          <t>EBIT (mn)</t>
        </is>
      </c>
      <c r="B8" s="19">
        <f>B5*B7</f>
        <v/>
      </c>
      <c r="C8" s="19">
        <f>C5*C7</f>
        <v/>
      </c>
      <c r="D8" s="19">
        <f>D5*D7</f>
        <v/>
      </c>
      <c r="E8" s="19">
        <f>E5*E7</f>
        <v/>
      </c>
      <c r="F8" s="19">
        <f>F5*F7</f>
        <v/>
      </c>
      <c r="G8" s="19">
        <f>G5*G7</f>
        <v/>
      </c>
      <c r="H8" s="19">
        <f>H5*H7</f>
        <v/>
      </c>
      <c r="I8" s="19">
        <f>I5*I7</f>
        <v/>
      </c>
      <c r="J8" s="19">
        <f>J5*J7</f>
        <v/>
      </c>
      <c r="K8" s="19">
        <f>K5*K7</f>
        <v/>
      </c>
    </row>
    <row r="9">
      <c r="A9" s="3" t="inlineStr">
        <is>
          <t>Net income (mn)</t>
        </is>
      </c>
      <c r="B9" s="18" t="n">
        <v>1829.4159249429</v>
      </c>
      <c r="C9" s="18" t="n">
        <v>2155.61114150214</v>
      </c>
      <c r="D9" s="19" t="n">
        <v>2217.419417100397</v>
      </c>
      <c r="E9" s="19" t="n">
        <v>2279.393941579713</v>
      </c>
      <c r="F9" s="19" t="n">
        <v>2341.880431695035</v>
      </c>
      <c r="G9" s="19" t="n">
        <v>2405.131137678654</v>
      </c>
      <c r="H9" s="19" t="n">
        <v>2469.332261799991</v>
      </c>
      <c r="I9" s="19" t="n">
        <v>2534.6235026272</v>
      </c>
      <c r="J9" s="19" t="n">
        <v>2610.64691764222</v>
      </c>
      <c r="K9" s="19" t="n">
        <v>2688.09525107016</v>
      </c>
    </row>
    <row r="10">
      <c r="A10" s="3" t="inlineStr">
        <is>
          <t>EPS</t>
        </is>
      </c>
      <c r="B10" s="16">
        <f>B9*1000000/192119123.0</f>
        <v/>
      </c>
      <c r="C10" s="16">
        <f>C9*1000000/192119123.0</f>
        <v/>
      </c>
      <c r="D10" s="16">
        <f>D9*1000000/192119123.0</f>
        <v/>
      </c>
      <c r="E10" s="16">
        <f>E9*1000000/192119123.0</f>
        <v/>
      </c>
      <c r="F10" s="16">
        <f>F9*1000000/192119123.0</f>
        <v/>
      </c>
      <c r="G10" s="16">
        <f>G9*1000000/192119123.0</f>
        <v/>
      </c>
      <c r="H10" s="16">
        <f>H9*1000000/192119123.0</f>
        <v/>
      </c>
      <c r="I10" s="16">
        <f>I9*1000000/192119123.0</f>
        <v/>
      </c>
      <c r="J10" s="16">
        <f>J9*1000000/192119123.0</f>
        <v/>
      </c>
      <c r="K10" s="16">
        <f>K9*1000000/192119123.0</f>
        <v/>
      </c>
    </row>
    <row r="12">
      <c r="A12" s="13" t="inlineStr">
        <is>
          <t>Levered FCF (mn)</t>
        </is>
      </c>
      <c r="B12" s="20" t="n">
        <v>172.0067379773104</v>
      </c>
      <c r="C12" s="20" t="n">
        <v>1130.992166355189</v>
      </c>
      <c r="D12" s="20" t="n">
        <v>1279.807853498583</v>
      </c>
      <c r="E12" s="20" t="n">
        <v>1433.92295799919</v>
      </c>
      <c r="F12" s="20" t="n">
        <v>1593.805261570787</v>
      </c>
      <c r="G12" s="20" t="n">
        <v>1759.867146167949</v>
      </c>
      <c r="H12" s="20" t="n">
        <v>1932.480959011165</v>
      </c>
      <c r="I12" s="20" t="n">
        <v>2111.991055744869</v>
      </c>
      <c r="J12" s="20" t="n">
        <v>2308.258079340776</v>
      </c>
      <c r="K12" s="20" t="n">
        <v>2512.569389921527</v>
      </c>
    </row>
    <row r="13">
      <c r="A13" s="3" t="inlineStr">
        <is>
          <t>FCF margin</t>
        </is>
      </c>
      <c r="B13" s="12">
        <f>B12/B5</f>
        <v/>
      </c>
      <c r="C13" s="12">
        <f>C12/C5</f>
        <v/>
      </c>
      <c r="D13" s="12">
        <f>D12/D5</f>
        <v/>
      </c>
      <c r="E13" s="12">
        <f>E12/E5</f>
        <v/>
      </c>
      <c r="F13" s="12">
        <f>F12/F5</f>
        <v/>
      </c>
      <c r="G13" s="12">
        <f>G12/G5</f>
        <v/>
      </c>
      <c r="H13" s="12">
        <f>H12/H5</f>
        <v/>
      </c>
      <c r="I13" s="12">
        <f>I12/I5</f>
        <v/>
      </c>
      <c r="J13" s="12">
        <f>J12/J5</f>
        <v/>
      </c>
      <c r="K13" s="12">
        <f>K12/K5</f>
        <v/>
      </c>
    </row>
    <row r="15">
      <c r="A15" s="2" t="inlineStr">
        <is>
          <t>→ Unlevered FCF (before interest) is what the 'DCF' sheet discounts.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BG — Assumptions &amp; Drivers</t>
        </is>
      </c>
    </row>
    <row r="2">
      <c r="A2" s="2" t="inlineStr">
        <is>
          <t>Blue cells are inputs — change them and the whole model recalculates. Source: yfinance, retrieved 2026-10-13.</t>
        </is>
      </c>
    </row>
    <row r="4">
      <c r="A4" s="8" t="inlineStr">
        <is>
          <t>Market data</t>
        </is>
      </c>
    </row>
    <row r="5">
      <c r="A5" s="3" t="inlineStr">
        <is>
          <t>Share price (USD)</t>
        </is>
      </c>
      <c r="B5" s="6" t="n">
        <v>106.915</v>
      </c>
    </row>
    <row r="6">
      <c r="A6" s="3" t="inlineStr">
        <is>
          <t>Diluted shares (mn)</t>
        </is>
      </c>
      <c r="B6" s="18" t="n">
        <v>192.119123</v>
      </c>
    </row>
    <row r="7">
      <c r="A7" s="3" t="inlineStr">
        <is>
          <t>Total debt (USDmm)</t>
        </is>
      </c>
      <c r="B7" s="18" t="n">
        <v>15855</v>
      </c>
    </row>
    <row r="8">
      <c r="A8" s="3" t="inlineStr">
        <is>
          <t>Cash &amp; ST investments (USDmm)</t>
        </is>
      </c>
      <c r="B8" s="18" t="n">
        <v>2204</v>
      </c>
    </row>
    <row r="9">
      <c r="A9" s="3" t="inlineStr">
        <is>
          <t>Minority interest (USDmm)</t>
        </is>
      </c>
      <c r="B9" s="18" t="n">
        <v>1518</v>
      </c>
    </row>
    <row r="10">
      <c r="A10" s="3" t="inlineStr">
        <is>
          <t>Net debt (USDmm)</t>
        </is>
      </c>
      <c r="B10" s="19">
        <f>Assumptions!$B$7-Assumptions!$B$8</f>
        <v/>
      </c>
    </row>
    <row r="12">
      <c r="A12" s="8" t="inlineStr">
        <is>
          <t>Cost of capital inputs</t>
        </is>
      </c>
    </row>
    <row r="13">
      <c r="A13" s="3" t="inlineStr">
        <is>
          <t>Risk-free rate (Rf)</t>
        </is>
      </c>
      <c r="B13" s="21" t="n">
        <v>0.043</v>
      </c>
    </row>
    <row r="14">
      <c r="A14" s="3" t="inlineStr">
        <is>
          <t>Equity risk premium (ERP)</t>
        </is>
      </c>
      <c r="B14" s="21" t="n">
        <v>0.046</v>
      </c>
    </row>
    <row r="15">
      <c r="A15" s="3" t="inlineStr">
        <is>
          <t>Country risk premium</t>
        </is>
      </c>
      <c r="B15" s="15" t="n">
        <v>0</v>
      </c>
    </row>
    <row r="16">
      <c r="A16" s="3" t="inlineStr">
        <is>
          <t>Size premium</t>
        </is>
      </c>
      <c r="B16" s="15" t="n">
        <v>0</v>
      </c>
    </row>
    <row r="17">
      <c r="A17" s="3" t="inlineStr">
        <is>
          <t>Beta (levered)</t>
        </is>
      </c>
      <c r="B17" s="22" t="n">
        <v>0.87</v>
      </c>
    </row>
    <row r="18">
      <c r="A18" s="3" t="inlineStr">
        <is>
          <t>Pre-tax cost of debt</t>
        </is>
      </c>
      <c r="B18" s="15" t="n">
        <v>0.074</v>
      </c>
    </row>
    <row r="19">
      <c r="A19" s="3" t="inlineStr">
        <is>
          <t>Tax rate</t>
        </is>
      </c>
      <c r="B19" s="11" t="n">
        <v>0.2240662110264513</v>
      </c>
    </row>
    <row r="21">
      <c r="A21" s="8" t="inlineStr">
        <is>
          <t>Terminal assumptions</t>
        </is>
      </c>
    </row>
    <row r="22">
      <c r="A22" s="3" t="inlineStr">
        <is>
          <t>Terminal growth (g)</t>
        </is>
      </c>
      <c r="B22" s="21" t="n">
        <v>0.025</v>
      </c>
    </row>
    <row r="24">
      <c r="A24" s="8" t="inlineStr">
        <is>
          <t>Per-year forecast drivers</t>
        </is>
      </c>
    </row>
    <row r="25">
      <c r="A25" s="9" t="inlineStr">
        <is>
          <t>Driver</t>
        </is>
      </c>
      <c r="B25" s="10" t="inlineStr">
        <is>
          <t>FY2026E</t>
        </is>
      </c>
      <c r="C25" s="10" t="inlineStr">
        <is>
          <t>FY2027E</t>
        </is>
      </c>
      <c r="D25" s="10" t="inlineStr">
        <is>
          <t>FY2028E</t>
        </is>
      </c>
      <c r="E25" s="10" t="inlineStr">
        <is>
          <t>FY2029E</t>
        </is>
      </c>
      <c r="F25" s="10" t="inlineStr">
        <is>
          <t>FY2030E</t>
        </is>
      </c>
      <c r="G25" s="10" t="inlineStr">
        <is>
          <t>FY2031E</t>
        </is>
      </c>
      <c r="H25" s="10" t="inlineStr">
        <is>
          <t>FY2032E</t>
        </is>
      </c>
      <c r="I25" s="10" t="inlineStr">
        <is>
          <t>FY2033E</t>
        </is>
      </c>
      <c r="J25" s="10" t="inlineStr">
        <is>
          <t>FY2034E</t>
        </is>
      </c>
      <c r="K25" s="10" t="inlineStr">
        <is>
          <t>FY2035E</t>
        </is>
      </c>
    </row>
    <row r="26">
      <c r="A26" s="3" t="inlineStr">
        <is>
          <t>Revenue growth</t>
        </is>
      </c>
      <c r="B26" s="11" t="n">
        <v>0.3044031005701773</v>
      </c>
      <c r="C26" s="11" t="n">
        <v>0.0271648246281242</v>
      </c>
      <c r="D26" s="11" t="n">
        <v>0.02648865469195984</v>
      </c>
      <c r="E26" s="11" t="n">
        <v>0.02602368236350594</v>
      </c>
      <c r="F26" s="11" t="n">
        <v>0.02570394134181211</v>
      </c>
      <c r="G26" s="11" t="n">
        <v>0.02548406950278514</v>
      </c>
      <c r="H26" s="11" t="n">
        <v>0.02533287330862462</v>
      </c>
      <c r="I26" s="11" t="n">
        <v>0.0252289023352167</v>
      </c>
      <c r="J26" s="11" t="n">
        <v>0.02515740606924643</v>
      </c>
      <c r="K26" s="11" t="n">
        <v>0.025</v>
      </c>
    </row>
    <row r="27">
      <c r="A27" s="3" t="inlineStr">
        <is>
          <t>EBIT margin</t>
        </is>
      </c>
      <c r="B27" s="11" t="n">
        <v>0.03254612658643233</v>
      </c>
      <c r="C27" s="11" t="n">
        <v>0.03614675061004817</v>
      </c>
      <c r="D27" s="11" t="n">
        <v>0.03603751342024587</v>
      </c>
      <c r="E27" s="11" t="n">
        <v>0.03592827623044357</v>
      </c>
      <c r="F27" s="11" t="n">
        <v>0.03581903904064127</v>
      </c>
      <c r="G27" s="11" t="n">
        <v>0.03570980185083896</v>
      </c>
      <c r="H27" s="11" t="n">
        <v>0.03560056466103666</v>
      </c>
      <c r="I27" s="11" t="n">
        <v>0.03549132747123436</v>
      </c>
      <c r="J27" s="11" t="n">
        <v>0.03549132747123436</v>
      </c>
      <c r="K27" s="11" t="n">
        <v>0.03549132747123436</v>
      </c>
    </row>
    <row r="28">
      <c r="A28" s="3" t="inlineStr">
        <is>
          <t>D&amp;A % of revenue</t>
        </is>
      </c>
      <c r="B28" s="11" t="n">
        <v>0.008112846665975662</v>
      </c>
      <c r="C28" s="11" t="n">
        <v>0.008112846665975662</v>
      </c>
      <c r="D28" s="11" t="n">
        <v>0.008112846665975662</v>
      </c>
      <c r="E28" s="11" t="n">
        <v>0.008112846665975662</v>
      </c>
      <c r="F28" s="11" t="n">
        <v>0.008112846665975662</v>
      </c>
      <c r="G28" s="11" t="n">
        <v>0.008112846665975662</v>
      </c>
      <c r="H28" s="11" t="n">
        <v>0.008112846665975662</v>
      </c>
      <c r="I28" s="11" t="n">
        <v>0.008112846665975662</v>
      </c>
      <c r="J28" s="11" t="n">
        <v>0.008112846665975662</v>
      </c>
      <c r="K28" s="11" t="n">
        <v>0.008112846665975662</v>
      </c>
    </row>
    <row r="29">
      <c r="A29" s="3" t="inlineStr">
        <is>
          <t>Capex % of revenue</t>
        </is>
      </c>
      <c r="B29" s="11" t="n">
        <v>0.01937701979519614</v>
      </c>
      <c r="C29" s="11" t="n">
        <v>0.01821558774379359</v>
      </c>
      <c r="D29" s="11" t="n">
        <v>0.01705415569239105</v>
      </c>
      <c r="E29" s="11" t="n">
        <v>0.0158927236409885</v>
      </c>
      <c r="F29" s="11" t="n">
        <v>0.01473129158958596</v>
      </c>
      <c r="G29" s="11" t="n">
        <v>0.01356985953818341</v>
      </c>
      <c r="H29" s="11" t="n">
        <v>0.01240842748678087</v>
      </c>
      <c r="I29" s="11" t="n">
        <v>0.01124699543537832</v>
      </c>
      <c r="J29" s="11" t="n">
        <v>0.01008556338397578</v>
      </c>
      <c r="K29" s="11" t="n">
        <v>0.008924131332573229</v>
      </c>
    </row>
    <row r="30">
      <c r="A30" s="3" t="inlineStr">
        <is>
          <t>ΔNWC % of Δrevenue</t>
        </is>
      </c>
      <c r="B30" s="11" t="n">
        <v>0.02915045583880146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Cost of capital (CAPM)</t>
        </is>
      </c>
    </row>
    <row r="2">
      <c r="A2" s="2" t="inlineStr">
        <is>
          <t>All formulas reference the Assumptions sheet.</t>
        </is>
      </c>
    </row>
    <row r="4">
      <c r="A4" s="3" t="inlineStr">
        <is>
          <t>Cost of equity (Ke = Rf + β·ERP + CRP + size)</t>
        </is>
      </c>
      <c r="B4" s="7">
        <f>Assumptions!$B$13+Assumptions!$B$17*Assumptions!$B$14+Assumptions!$B$15+Assumptions!$B$16</f>
        <v/>
      </c>
    </row>
    <row r="5">
      <c r="A5" s="3" t="inlineStr">
        <is>
          <t>After-tax cost of debt (Kd·(1−t))</t>
        </is>
      </c>
      <c r="B5" s="7">
        <f>Assumptions!$B$18*(1-Assumptions!$B$19)</f>
        <v/>
      </c>
    </row>
    <row r="6">
      <c r="A6" s="3" t="inlineStr">
        <is>
          <t>Market value of equity (mm)</t>
        </is>
      </c>
      <c r="B6" s="23">
        <f>Assumptions!$B$5*Assumptions!$B$6</f>
        <v/>
      </c>
    </row>
    <row r="7">
      <c r="A7" s="3" t="inlineStr">
        <is>
          <t>Debt (book, mm)</t>
        </is>
      </c>
      <c r="B7" s="23">
        <f>Assumptions!$B$7</f>
        <v/>
      </c>
    </row>
    <row r="8">
      <c r="A8" s="3" t="inlineStr">
        <is>
          <t>Weight of equity</t>
        </is>
      </c>
      <c r="B8" s="12">
        <f>WACC!$B$6/(WACC!$B$6+WACC!$B$7)</f>
        <v/>
      </c>
    </row>
    <row r="9">
      <c r="A9" s="3" t="inlineStr">
        <is>
          <t>Weight of debt</t>
        </is>
      </c>
      <c r="B9" s="12">
        <f>1-WACC!$B$8</f>
        <v/>
      </c>
    </row>
    <row r="10">
      <c r="A10" s="13" t="inlineStr">
        <is>
          <t>WACC</t>
        </is>
      </c>
      <c r="B10" s="24">
        <f>WACC!$B$8*WACC!$B$4+WACC!$B$9*WACC!$B$5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Operating model (USDmm)</t>
        </is>
      </c>
    </row>
    <row r="2">
      <c r="A2" s="2" t="inlineStr">
        <is>
          <t>Shaded columns are reported actuals (blue hardcodes, sourced); unshaded are forecast formulas driven by the Assumptions sheet.</t>
        </is>
      </c>
    </row>
    <row r="4">
      <c r="A4" s="9" t="inlineStr">
        <is>
          <t>Line item</t>
        </is>
      </c>
      <c r="B4" s="10" t="inlineStr">
        <is>
          <t>FY2022A</t>
        </is>
      </c>
      <c r="C4" s="10" t="inlineStr">
        <is>
          <t>FY2023A</t>
        </is>
      </c>
      <c r="D4" s="10" t="inlineStr">
        <is>
          <t>FY2024A</t>
        </is>
      </c>
      <c r="E4" s="10" t="inlineStr">
        <is>
          <t>FY2025A</t>
        </is>
      </c>
      <c r="F4" s="10" t="inlineStr">
        <is>
          <t>FY2026E</t>
        </is>
      </c>
      <c r="G4" s="10" t="inlineStr">
        <is>
          <t>FY2027E</t>
        </is>
      </c>
      <c r="H4" s="10" t="inlineStr">
        <is>
          <t>FY2028E</t>
        </is>
      </c>
      <c r="I4" s="10" t="inlineStr">
        <is>
          <t>FY2029E</t>
        </is>
      </c>
      <c r="J4" s="10" t="inlineStr">
        <is>
          <t>FY2030E</t>
        </is>
      </c>
      <c r="K4" s="10" t="inlineStr">
        <is>
          <t>FY2031E</t>
        </is>
      </c>
      <c r="L4" s="10" t="inlineStr">
        <is>
          <t>FY2032E</t>
        </is>
      </c>
      <c r="M4" s="10" t="inlineStr">
        <is>
          <t>FY2033E</t>
        </is>
      </c>
      <c r="N4" s="10" t="inlineStr">
        <is>
          <t>FY2034E</t>
        </is>
      </c>
      <c r="O4" s="10" t="inlineStr">
        <is>
          <t>FY2035E</t>
        </is>
      </c>
    </row>
    <row r="5">
      <c r="A5" s="3" t="inlineStr">
        <is>
          <t>Revenue</t>
        </is>
      </c>
      <c r="B5" s="25" t="n">
        <v>67232</v>
      </c>
      <c r="C5" s="25" t="n">
        <v>59540</v>
      </c>
      <c r="D5" s="25" t="n">
        <v>53108</v>
      </c>
      <c r="E5" s="25" t="n">
        <v>70329</v>
      </c>
      <c r="F5" s="19">
        <f>E5*(1+Assumptions!B$26)</f>
        <v/>
      </c>
      <c r="G5" s="19">
        <f>F5*(1+Assumptions!C$26)</f>
        <v/>
      </c>
      <c r="H5" s="19">
        <f>G5*(1+Assumptions!D$26)</f>
        <v/>
      </c>
      <c r="I5" s="19">
        <f>H5*(1+Assumptions!E$26)</f>
        <v/>
      </c>
      <c r="J5" s="19">
        <f>I5*(1+Assumptions!F$26)</f>
        <v/>
      </c>
      <c r="K5" s="19">
        <f>J5*(1+Assumptions!G$26)</f>
        <v/>
      </c>
      <c r="L5" s="19">
        <f>K5*(1+Assumptions!H$26)</f>
        <v/>
      </c>
      <c r="M5" s="19">
        <f>L5*(1+Assumptions!I$26)</f>
        <v/>
      </c>
      <c r="N5" s="19">
        <f>M5*(1+Assumptions!J$26)</f>
        <v/>
      </c>
      <c r="O5" s="19">
        <f>N5*(1+Assumptions!K$26)</f>
        <v/>
      </c>
    </row>
    <row r="6">
      <c r="A6" s="3" t="inlineStr">
        <is>
          <t xml:space="preserve">  growth %</t>
        </is>
      </c>
      <c r="C6" s="26">
        <f>C5/B5-1</f>
        <v/>
      </c>
      <c r="D6" s="26">
        <f>D5/C5-1</f>
        <v/>
      </c>
      <c r="E6" s="26">
        <f>E5/D5-1</f>
        <v/>
      </c>
      <c r="F6" s="12">
        <f>F5/E5-1</f>
        <v/>
      </c>
      <c r="G6" s="12">
        <f>G5/F5-1</f>
        <v/>
      </c>
      <c r="H6" s="12">
        <f>H5/G5-1</f>
        <v/>
      </c>
      <c r="I6" s="12">
        <f>I5/H5-1</f>
        <v/>
      </c>
      <c r="J6" s="12">
        <f>J5/I5-1</f>
        <v/>
      </c>
      <c r="K6" s="12">
        <f>K5/J5-1</f>
        <v/>
      </c>
      <c r="L6" s="12">
        <f>L5/K5-1</f>
        <v/>
      </c>
      <c r="M6" s="12">
        <f>M5/L5-1</f>
        <v/>
      </c>
      <c r="N6" s="12">
        <f>N5/M5-1</f>
        <v/>
      </c>
      <c r="O6" s="12">
        <f>O5/N5-1</f>
        <v/>
      </c>
    </row>
    <row r="7">
      <c r="A7" s="3" t="inlineStr">
        <is>
          <t>EBIT</t>
        </is>
      </c>
      <c r="B7" s="25" t="n">
        <v>2313</v>
      </c>
      <c r="C7" s="25" t="n">
        <v>3130</v>
      </c>
      <c r="D7" s="25" t="n">
        <v>1617</v>
      </c>
      <c r="E7" s="25" t="n">
        <v>1296</v>
      </c>
      <c r="F7" s="19">
        <f>F5*Assumptions!B$27</f>
        <v/>
      </c>
      <c r="G7" s="19">
        <f>G5*Assumptions!C$27</f>
        <v/>
      </c>
      <c r="H7" s="19">
        <f>H5*Assumptions!D$27</f>
        <v/>
      </c>
      <c r="I7" s="19">
        <f>I5*Assumptions!E$27</f>
        <v/>
      </c>
      <c r="J7" s="19">
        <f>J5*Assumptions!F$27</f>
        <v/>
      </c>
      <c r="K7" s="19">
        <f>K5*Assumptions!G$27</f>
        <v/>
      </c>
      <c r="L7" s="19">
        <f>L5*Assumptions!H$27</f>
        <v/>
      </c>
      <c r="M7" s="19">
        <f>M5*Assumptions!I$27</f>
        <v/>
      </c>
      <c r="N7" s="19">
        <f>N5*Assumptions!J$27</f>
        <v/>
      </c>
      <c r="O7" s="19">
        <f>O5*Assumptions!K$27</f>
        <v/>
      </c>
    </row>
    <row r="8">
      <c r="A8" s="3" t="inlineStr">
        <is>
          <t xml:space="preserve">  EBIT margin %</t>
        </is>
      </c>
      <c r="B8" s="26">
        <f>B7/B5</f>
        <v/>
      </c>
      <c r="C8" s="26">
        <f>C7/C5</f>
        <v/>
      </c>
      <c r="D8" s="26">
        <f>D7/D5</f>
        <v/>
      </c>
      <c r="E8" s="26">
        <f>E7/E5</f>
        <v/>
      </c>
      <c r="F8" s="12">
        <f>F7/F5</f>
        <v/>
      </c>
      <c r="G8" s="12">
        <f>G7/G5</f>
        <v/>
      </c>
      <c r="H8" s="12">
        <f>H7/H5</f>
        <v/>
      </c>
      <c r="I8" s="12">
        <f>I7/I5</f>
        <v/>
      </c>
      <c r="J8" s="12">
        <f>J7/J5</f>
        <v/>
      </c>
      <c r="K8" s="12">
        <f>K7/K5</f>
        <v/>
      </c>
      <c r="L8" s="12">
        <f>L7/L5</f>
        <v/>
      </c>
      <c r="M8" s="12">
        <f>M7/M5</f>
        <v/>
      </c>
      <c r="N8" s="12">
        <f>N7/N5</f>
        <v/>
      </c>
      <c r="O8" s="12">
        <f>O7/O5</f>
        <v/>
      </c>
    </row>
    <row r="9">
      <c r="A9" s="3" t="inlineStr">
        <is>
          <t>D&amp;A</t>
        </is>
      </c>
      <c r="B9" s="25" t="n">
        <v>408</v>
      </c>
      <c r="C9" s="25" t="n">
        <v>451</v>
      </c>
      <c r="D9" s="25" t="n">
        <v>468</v>
      </c>
      <c r="E9" s="25" t="n">
        <v>703</v>
      </c>
      <c r="F9" s="19">
        <f>F5*Assumptions!B$28</f>
        <v/>
      </c>
      <c r="G9" s="19">
        <f>G5*Assumptions!C$28</f>
        <v/>
      </c>
      <c r="H9" s="19">
        <f>H5*Assumptions!D$28</f>
        <v/>
      </c>
      <c r="I9" s="19">
        <f>I5*Assumptions!E$28</f>
        <v/>
      </c>
      <c r="J9" s="19">
        <f>J5*Assumptions!F$28</f>
        <v/>
      </c>
      <c r="K9" s="19">
        <f>K5*Assumptions!G$28</f>
        <v/>
      </c>
      <c r="L9" s="19">
        <f>L5*Assumptions!H$28</f>
        <v/>
      </c>
      <c r="M9" s="19">
        <f>M5*Assumptions!I$28</f>
        <v/>
      </c>
      <c r="N9" s="19">
        <f>N5*Assumptions!J$28</f>
        <v/>
      </c>
      <c r="O9" s="19">
        <f>O5*Assumptions!K$28</f>
        <v/>
      </c>
    </row>
    <row r="10">
      <c r="A10" s="3" t="inlineStr">
        <is>
          <t>EBITDA</t>
        </is>
      </c>
      <c r="B10" s="27">
        <f>B7+B9</f>
        <v/>
      </c>
      <c r="C10" s="27">
        <f>C7+C9</f>
        <v/>
      </c>
      <c r="D10" s="27">
        <f>D7+D9</f>
        <v/>
      </c>
      <c r="E10" s="27">
        <f>E7+E9</f>
        <v/>
      </c>
      <c r="F10" s="19">
        <f>F7+F9</f>
        <v/>
      </c>
      <c r="G10" s="19">
        <f>G7+G9</f>
        <v/>
      </c>
      <c r="H10" s="19">
        <f>H7+H9</f>
        <v/>
      </c>
      <c r="I10" s="19">
        <f>I7+I9</f>
        <v/>
      </c>
      <c r="J10" s="19">
        <f>J7+J9</f>
        <v/>
      </c>
      <c r="K10" s="19">
        <f>K7+K9</f>
        <v/>
      </c>
      <c r="L10" s="19">
        <f>L7+L9</f>
        <v/>
      </c>
      <c r="M10" s="19">
        <f>M7+M9</f>
        <v/>
      </c>
      <c r="N10" s="19">
        <f>N7+N9</f>
        <v/>
      </c>
      <c r="O10" s="19">
        <f>O7+O9</f>
        <v/>
      </c>
    </row>
    <row r="11">
      <c r="A11" s="3" t="inlineStr">
        <is>
          <t>NOPAT (EBIT×(1−t))</t>
        </is>
      </c>
      <c r="B11" s="28">
        <f>B7*(1-Assumptions!$B$19)</f>
        <v/>
      </c>
      <c r="C11" s="28">
        <f>C7*(1-Assumptions!$B$19)</f>
        <v/>
      </c>
      <c r="D11" s="28">
        <f>D7*(1-Assumptions!$B$19)</f>
        <v/>
      </c>
      <c r="E11" s="28">
        <f>E7*(1-Assumptions!$B$19)</f>
        <v/>
      </c>
      <c r="F11" s="23">
        <f>F7*(1-Assumptions!$B$19)</f>
        <v/>
      </c>
      <c r="G11" s="23">
        <f>G7*(1-Assumptions!$B$19)</f>
        <v/>
      </c>
      <c r="H11" s="23">
        <f>H7*(1-Assumptions!$B$19)</f>
        <v/>
      </c>
      <c r="I11" s="23">
        <f>I7*(1-Assumptions!$B$19)</f>
        <v/>
      </c>
      <c r="J11" s="23">
        <f>J7*(1-Assumptions!$B$19)</f>
        <v/>
      </c>
      <c r="K11" s="23">
        <f>K7*(1-Assumptions!$B$19)</f>
        <v/>
      </c>
      <c r="L11" s="23">
        <f>L7*(1-Assumptions!$B$19)</f>
        <v/>
      </c>
      <c r="M11" s="23">
        <f>M7*(1-Assumptions!$B$19)</f>
        <v/>
      </c>
      <c r="N11" s="23">
        <f>N7*(1-Assumptions!$B$19)</f>
        <v/>
      </c>
      <c r="O11" s="23">
        <f>O7*(1-Assumptions!$B$19)</f>
        <v/>
      </c>
    </row>
    <row r="12">
      <c r="A12" s="3" t="inlineStr">
        <is>
          <t>Capex</t>
        </is>
      </c>
      <c r="B12" s="25" t="n">
        <v>555</v>
      </c>
      <c r="C12" s="25" t="n">
        <v>1122</v>
      </c>
      <c r="D12" s="25" t="n">
        <v>1376</v>
      </c>
      <c r="E12" s="25" t="n">
        <v>1723</v>
      </c>
      <c r="F12" s="19">
        <f>F5*Assumptions!B$29</f>
        <v/>
      </c>
      <c r="G12" s="19">
        <f>G5*Assumptions!C$29</f>
        <v/>
      </c>
      <c r="H12" s="19">
        <f>H5*Assumptions!D$29</f>
        <v/>
      </c>
      <c r="I12" s="19">
        <f>I5*Assumptions!E$29</f>
        <v/>
      </c>
      <c r="J12" s="19">
        <f>J5*Assumptions!F$29</f>
        <v/>
      </c>
      <c r="K12" s="19">
        <f>K5*Assumptions!G$29</f>
        <v/>
      </c>
      <c r="L12" s="19">
        <f>L5*Assumptions!H$29</f>
        <v/>
      </c>
      <c r="M12" s="19">
        <f>M5*Assumptions!I$29</f>
        <v/>
      </c>
      <c r="N12" s="19">
        <f>N5*Assumptions!J$29</f>
        <v/>
      </c>
      <c r="O12" s="19">
        <f>O5*Assumptions!K$29</f>
        <v/>
      </c>
    </row>
    <row r="13">
      <c r="A13" s="3" t="inlineStr">
        <is>
          <t>Δ Net working capital</t>
        </is>
      </c>
      <c r="B13" s="25" t="n">
        <v>7627</v>
      </c>
      <c r="C13" s="25" t="n">
        <v>-673</v>
      </c>
      <c r="D13" s="25" t="n">
        <v>-95</v>
      </c>
      <c r="E13" s="25" t="n">
        <v>502</v>
      </c>
      <c r="F13" s="19">
        <f>(F5-E5)*Assumptions!$B$30</f>
        <v/>
      </c>
      <c r="G13" s="19">
        <f>(G5-F5)*Assumptions!$B$30</f>
        <v/>
      </c>
      <c r="H13" s="19">
        <f>(H5-G5)*Assumptions!$B$30</f>
        <v/>
      </c>
      <c r="I13" s="19">
        <f>(I5-H5)*Assumptions!$B$30</f>
        <v/>
      </c>
      <c r="J13" s="19">
        <f>(J5-I5)*Assumptions!$B$30</f>
        <v/>
      </c>
      <c r="K13" s="19">
        <f>(K5-J5)*Assumptions!$B$30</f>
        <v/>
      </c>
      <c r="L13" s="19">
        <f>(L5-K5)*Assumptions!$B$30</f>
        <v/>
      </c>
      <c r="M13" s="19">
        <f>(M5-L5)*Assumptions!$B$30</f>
        <v/>
      </c>
      <c r="N13" s="19">
        <f>(N5-M5)*Assumptions!$B$30</f>
        <v/>
      </c>
      <c r="O13" s="19">
        <f>(O5-N5)*Assumptions!$B$30</f>
        <v/>
      </c>
    </row>
    <row r="14">
      <c r="A14" s="13" t="inlineStr">
        <is>
          <t>FCFF</t>
        </is>
      </c>
      <c r="B14" s="29">
        <f>B11+B9-B12-B13</f>
        <v/>
      </c>
      <c r="C14" s="29">
        <f>C11+C9-C12-C13</f>
        <v/>
      </c>
      <c r="D14" s="29">
        <f>D11+D9-D12-D13</f>
        <v/>
      </c>
      <c r="E14" s="29">
        <f>E11+E9-E12-E13</f>
        <v/>
      </c>
      <c r="F14" s="30">
        <f>F11+F9-F12-F13</f>
        <v/>
      </c>
      <c r="G14" s="30">
        <f>G11+G9-G12-G13</f>
        <v/>
      </c>
      <c r="H14" s="30">
        <f>H11+H9-H12-H13</f>
        <v/>
      </c>
      <c r="I14" s="30">
        <f>I11+I9-I12-I13</f>
        <v/>
      </c>
      <c r="J14" s="30">
        <f>J11+J9-J12-J13</f>
        <v/>
      </c>
      <c r="K14" s="30">
        <f>K11+K9-K12-K13</f>
        <v/>
      </c>
      <c r="L14" s="30">
        <f>L11+L9-L12-L13</f>
        <v/>
      </c>
      <c r="M14" s="30">
        <f>M11+M9-M12-M13</f>
        <v/>
      </c>
      <c r="N14" s="30">
        <f>N11+N9-N12-N13</f>
        <v/>
      </c>
      <c r="O14" s="30">
        <f>O11+O9-O12-O13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Discounted cash flow (USDmm)</t>
        </is>
      </c>
    </row>
    <row r="2">
      <c r="A2" s="2" t="inlineStr">
        <is>
          <t>Mid-year convention. Terminal value is reinvestment-consistent: TV = NOPATn·(1+g)·(1−g/ROIC)/(WACC−g).</t>
        </is>
      </c>
    </row>
    <row r="4">
      <c r="A4" s="9" t="inlineStr">
        <is>
          <t>Year</t>
        </is>
      </c>
      <c r="B4" s="10" t="inlineStr">
        <is>
          <t>FY2026E</t>
        </is>
      </c>
      <c r="C4" s="10" t="inlineStr">
        <is>
          <t>FY2027E</t>
        </is>
      </c>
      <c r="D4" s="10" t="inlineStr">
        <is>
          <t>FY2028E</t>
        </is>
      </c>
      <c r="E4" s="10" t="inlineStr">
        <is>
          <t>FY2029E</t>
        </is>
      </c>
      <c r="F4" s="10" t="inlineStr">
        <is>
          <t>FY2030E</t>
        </is>
      </c>
      <c r="G4" s="10" t="inlineStr">
        <is>
          <t>FY2031E</t>
        </is>
      </c>
      <c r="H4" s="10" t="inlineStr">
        <is>
          <t>FY2032E</t>
        </is>
      </c>
      <c r="I4" s="10" t="inlineStr">
        <is>
          <t>FY2033E</t>
        </is>
      </c>
      <c r="J4" s="10" t="inlineStr">
        <is>
          <t>FY2034E</t>
        </is>
      </c>
      <c r="K4" s="10" t="inlineStr">
        <is>
          <t>FY2035E</t>
        </is>
      </c>
    </row>
    <row r="5">
      <c r="A5" s="3" t="inlineStr">
        <is>
          <t>FCFF (from Model)</t>
        </is>
      </c>
      <c r="B5" s="23">
        <f>Model!F14</f>
        <v/>
      </c>
      <c r="C5" s="23">
        <f>Model!G14</f>
        <v/>
      </c>
      <c r="D5" s="23">
        <f>Model!H14</f>
        <v/>
      </c>
      <c r="E5" s="23">
        <f>Model!I14</f>
        <v/>
      </c>
      <c r="F5" s="23">
        <f>Model!J14</f>
        <v/>
      </c>
      <c r="G5" s="23">
        <f>Model!K14</f>
        <v/>
      </c>
      <c r="H5" s="23">
        <f>Model!L14</f>
        <v/>
      </c>
      <c r="I5" s="23">
        <f>Model!M14</f>
        <v/>
      </c>
      <c r="J5" s="23">
        <f>Model!N14</f>
        <v/>
      </c>
      <c r="K5" s="23">
        <f>Model!O14</f>
        <v/>
      </c>
    </row>
    <row r="6">
      <c r="A6" s="3" t="inlineStr">
        <is>
          <t>Period (mid-year, t−0.5)</t>
        </is>
      </c>
      <c r="B6" s="31" t="n">
        <v>0.5</v>
      </c>
      <c r="C6" s="31" t="n">
        <v>1.5</v>
      </c>
      <c r="D6" s="31" t="n">
        <v>2.5</v>
      </c>
      <c r="E6" s="31" t="n">
        <v>3.5</v>
      </c>
      <c r="F6" s="31" t="n">
        <v>4.5</v>
      </c>
      <c r="G6" s="31" t="n">
        <v>5.5</v>
      </c>
      <c r="H6" s="31" t="n">
        <v>6.5</v>
      </c>
      <c r="I6" s="31" t="n">
        <v>7.5</v>
      </c>
      <c r="J6" s="31" t="n">
        <v>8.5</v>
      </c>
      <c r="K6" s="31" t="n">
        <v>9.5</v>
      </c>
    </row>
    <row r="7">
      <c r="A7" s="3" t="inlineStr">
        <is>
          <t>Discount factor</t>
        </is>
      </c>
      <c r="B7" s="32">
        <f>1/(1+WACC!$B$10)^B6</f>
        <v/>
      </c>
      <c r="C7" s="32">
        <f>1/(1+WACC!$B$10)^C6</f>
        <v/>
      </c>
      <c r="D7" s="32">
        <f>1/(1+WACC!$B$10)^D6</f>
        <v/>
      </c>
      <c r="E7" s="32">
        <f>1/(1+WACC!$B$10)^E6</f>
        <v/>
      </c>
      <c r="F7" s="32">
        <f>1/(1+WACC!$B$10)^F6</f>
        <v/>
      </c>
      <c r="G7" s="32">
        <f>1/(1+WACC!$B$10)^G6</f>
        <v/>
      </c>
      <c r="H7" s="32">
        <f>1/(1+WACC!$B$10)^H6</f>
        <v/>
      </c>
      <c r="I7" s="32">
        <f>1/(1+WACC!$B$10)^I6</f>
        <v/>
      </c>
      <c r="J7" s="32">
        <f>1/(1+WACC!$B$10)^J6</f>
        <v/>
      </c>
      <c r="K7" s="32">
        <f>1/(1+WACC!$B$10)^K6</f>
        <v/>
      </c>
    </row>
    <row r="8">
      <c r="A8" s="3" t="inlineStr">
        <is>
          <t>PV of FCFF</t>
        </is>
      </c>
      <c r="B8" s="19">
        <f>B5*B7</f>
        <v/>
      </c>
      <c r="C8" s="19">
        <f>C5*C7</f>
        <v/>
      </c>
      <c r="D8" s="19">
        <f>D5*D7</f>
        <v/>
      </c>
      <c r="E8" s="19">
        <f>E5*E7</f>
        <v/>
      </c>
      <c r="F8" s="19">
        <f>F5*F7</f>
        <v/>
      </c>
      <c r="G8" s="19">
        <f>G5*G7</f>
        <v/>
      </c>
      <c r="H8" s="19">
        <f>H5*H7</f>
        <v/>
      </c>
      <c r="I8" s="19">
        <f>I5*I7</f>
        <v/>
      </c>
      <c r="J8" s="19">
        <f>J5*J7</f>
        <v/>
      </c>
      <c r="K8" s="19">
        <f>K5*K7</f>
        <v/>
      </c>
    </row>
    <row r="10">
      <c r="A10" s="3" t="inlineStr">
        <is>
          <t>PV of explicit FCFF</t>
        </is>
      </c>
      <c r="B10" s="19">
        <f>SUM(B8:K8)</f>
        <v/>
      </c>
    </row>
    <row r="11">
      <c r="A11" s="3" t="inlineStr">
        <is>
          <t>Terminal NOPAT (FYn)</t>
        </is>
      </c>
      <c r="B11" s="23">
        <f>Model!O11</f>
        <v/>
      </c>
    </row>
    <row r="12">
      <c r="A12" s="3" t="inlineStr">
        <is>
          <t>Invested capital (mm)</t>
        </is>
      </c>
      <c r="B12" s="18" t="n">
        <v>29555</v>
      </c>
    </row>
    <row r="13">
      <c r="A13" s="3" t="inlineStr">
        <is>
          <t>Terminal invested capital (scaled w/ revenue)</t>
        </is>
      </c>
      <c r="B13" s="23">
        <f>$B$12*Model!O5/Model!E5</f>
        <v/>
      </c>
    </row>
    <row r="14">
      <c r="A14" s="3" t="inlineStr">
        <is>
          <t>Terminal ROIC</t>
        </is>
      </c>
      <c r="B14" s="12">
        <f>MAX($B$11/$B$13,WACC!$B$10)</f>
        <v/>
      </c>
    </row>
    <row r="15">
      <c r="A15" s="3" t="inlineStr">
        <is>
          <t>Terminal reinvestment rate (g/ROIC)</t>
        </is>
      </c>
      <c r="B15" s="33">
        <f>Assumptions!$B$22/$B$14</f>
        <v/>
      </c>
    </row>
    <row r="16">
      <c r="A16" s="3" t="inlineStr">
        <is>
          <t>Terminal value (Gordon)</t>
        </is>
      </c>
      <c r="B16" s="19">
        <f>$B$11*(1+Assumptions!$B$22)*(1-$B$15)/(WACC!$B$10-Assumptions!$B$22)</f>
        <v/>
      </c>
    </row>
    <row r="17">
      <c r="A17" s="3" t="inlineStr">
        <is>
          <t>PV of terminal value</t>
        </is>
      </c>
      <c r="B17" s="19">
        <f>$B$16/(1+WACC!$B$10)^(10-0.5)</f>
        <v/>
      </c>
    </row>
    <row r="18">
      <c r="A18" s="3" t="inlineStr">
        <is>
          <t>TV as % of EV</t>
        </is>
      </c>
      <c r="B18" s="12">
        <f>$B$17/($B$10+$B$17)</f>
        <v/>
      </c>
    </row>
    <row r="20">
      <c r="A20" s="13" t="inlineStr">
        <is>
          <t>Enterprise value</t>
        </is>
      </c>
      <c r="B20" s="30">
        <f>$B$10+$B$17</f>
        <v/>
      </c>
    </row>
    <row r="21">
      <c r="A21" s="3" t="inlineStr">
        <is>
          <t>(−) Net debt</t>
        </is>
      </c>
      <c r="B21" s="23">
        <f>-Assumptions!$B$10</f>
        <v/>
      </c>
    </row>
    <row r="22">
      <c r="A22" s="3" t="inlineStr">
        <is>
          <t>(−) Minority interest</t>
        </is>
      </c>
      <c r="B22" s="23">
        <f>-Assumptions!$B$9</f>
        <v/>
      </c>
    </row>
    <row r="23">
      <c r="A23" s="13" t="inlineStr">
        <is>
          <t>Equity value</t>
        </is>
      </c>
      <c r="B23" s="30">
        <f>$B$20-Assumptions!$B$10-Assumptions!$B$9</f>
        <v/>
      </c>
    </row>
    <row r="24">
      <c r="A24" s="13" t="inlineStr">
        <is>
          <t>Value per share</t>
        </is>
      </c>
      <c r="B24" s="34">
        <f>$B$23/Assumptions!$B$6</f>
        <v/>
      </c>
    </row>
    <row r="25">
      <c r="A25" s="13" t="inlineStr">
        <is>
          <t>Upside vs price</t>
        </is>
      </c>
      <c r="B25" s="35">
        <f>$B$24/Assumptions!$B$5-1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Value per share — WACC × terminal growth (USD/share)</t>
        </is>
      </c>
    </row>
    <row r="2">
      <c r="A2" s="2" t="inlineStr">
        <is>
          <t>Every cell is a live formula; it re-runs the full DCF at that WACC/g pair.</t>
        </is>
      </c>
    </row>
    <row r="4">
      <c r="A4" s="13" t="inlineStr">
        <is>
          <t>WACC \ g</t>
        </is>
      </c>
      <c r="B4" s="11" t="n">
        <v>0.015</v>
      </c>
      <c r="C4" s="11" t="n">
        <v>0.02</v>
      </c>
      <c r="D4" s="11" t="n">
        <v>0.025</v>
      </c>
      <c r="E4" s="11" t="n">
        <v>0.03</v>
      </c>
      <c r="F4" s="11" t="n">
        <v>0.035</v>
      </c>
    </row>
    <row r="5">
      <c r="A5" s="15" t="n">
        <v>0.05685593225399974</v>
      </c>
      <c r="B5" s="16">
        <f>(SUMPRODUCT(DCF!$B$5:$K$5,1/(1+$A$5)^DCF!$B$6:$K$6)+DCF!$B$11*(1+B$4)*(1-B$4/DCF!$B$14)/($A$5-B$4)/(1+$A$5)^(10-0.5)-Assumptions!$B$10-Assumptions!$B$9)/Assumptions!$B$6</f>
        <v/>
      </c>
      <c r="C5" s="16">
        <f>(SUMPRODUCT(DCF!$B$5:$K$5,1/(1+$A$5)^DCF!$B$6:$K$6)+DCF!$B$11*(1+C$4)*(1-C$4/DCF!$B$14)/($A$5-C$4)/(1+$A$5)^(10-0.5)-Assumptions!$B$10-Assumptions!$B$9)/Assumptions!$B$6</f>
        <v/>
      </c>
      <c r="D5" s="16">
        <f>(SUMPRODUCT(DCF!$B$5:$K$5,1/(1+$A$5)^DCF!$B$6:$K$6)+DCF!$B$11*(1+D$4)*(1-D$4/DCF!$B$14)/($A$5-D$4)/(1+$A$5)^(10-0.5)-Assumptions!$B$10-Assumptions!$B$9)/Assumptions!$B$6</f>
        <v/>
      </c>
      <c r="E5" s="16">
        <f>(SUMPRODUCT(DCF!$B$5:$K$5,1/(1+$A$5)^DCF!$B$6:$K$6)+DCF!$B$11*(1+E$4)*(1-E$4/DCF!$B$14)/($A$5-E$4)/(1+$A$5)^(10-0.5)-Assumptions!$B$10-Assumptions!$B$9)/Assumptions!$B$6</f>
        <v/>
      </c>
      <c r="F5" s="16">
        <f>(SUMPRODUCT(DCF!$B$5:$K$5,1/(1+$A$5)^DCF!$B$6:$K$6)+DCF!$B$11*(1+F$4)*(1-F$4/DCF!$B$14)/($A$5-F$4)/(1+$A$5)^(10-0.5)-Assumptions!$B$10-Assumptions!$B$9)/Assumptions!$B$6</f>
        <v/>
      </c>
    </row>
    <row r="6">
      <c r="A6" s="15" t="n">
        <v>0.06435593225399974</v>
      </c>
      <c r="B6" s="16">
        <f>(SUMPRODUCT(DCF!$B$5:$K$5,1/(1+$A$6)^DCF!$B$6:$K$6)+DCF!$B$11*(1+B$4)*(1-B$4/DCF!$B$14)/($A$6-B$4)/(1+$A$6)^(10-0.5)-Assumptions!$B$10-Assumptions!$B$9)/Assumptions!$B$6</f>
        <v/>
      </c>
      <c r="C6" s="16">
        <f>(SUMPRODUCT(DCF!$B$5:$K$5,1/(1+$A$6)^DCF!$B$6:$K$6)+DCF!$B$11*(1+C$4)*(1-C$4/DCF!$B$14)/($A$6-C$4)/(1+$A$6)^(10-0.5)-Assumptions!$B$10-Assumptions!$B$9)/Assumptions!$B$6</f>
        <v/>
      </c>
      <c r="D6" s="16">
        <f>(SUMPRODUCT(DCF!$B$5:$K$5,1/(1+$A$6)^DCF!$B$6:$K$6)+DCF!$B$11*(1+D$4)*(1-D$4/DCF!$B$14)/($A$6-D$4)/(1+$A$6)^(10-0.5)-Assumptions!$B$10-Assumptions!$B$9)/Assumptions!$B$6</f>
        <v/>
      </c>
      <c r="E6" s="16">
        <f>(SUMPRODUCT(DCF!$B$5:$K$5,1/(1+$A$6)^DCF!$B$6:$K$6)+DCF!$B$11*(1+E$4)*(1-E$4/DCF!$B$14)/($A$6-E$4)/(1+$A$6)^(10-0.5)-Assumptions!$B$10-Assumptions!$B$9)/Assumptions!$B$6</f>
        <v/>
      </c>
      <c r="F6" s="16">
        <f>(SUMPRODUCT(DCF!$B$5:$K$5,1/(1+$A$6)^DCF!$B$6:$K$6)+DCF!$B$11*(1+F$4)*(1-F$4/DCF!$B$14)/($A$6-F$4)/(1+$A$6)^(10-0.5)-Assumptions!$B$10-Assumptions!$B$9)/Assumptions!$B$6</f>
        <v/>
      </c>
    </row>
    <row r="7">
      <c r="A7" s="15" t="n">
        <v>0.07185593225399974</v>
      </c>
      <c r="B7" s="16">
        <f>(SUMPRODUCT(DCF!$B$5:$K$5,1/(1+$A$7)^DCF!$B$6:$K$6)+DCF!$B$11*(1+B$4)*(1-B$4/DCF!$B$14)/($A$7-B$4)/(1+$A$7)^(10-0.5)-Assumptions!$B$10-Assumptions!$B$9)/Assumptions!$B$6</f>
        <v/>
      </c>
      <c r="C7" s="16">
        <f>(SUMPRODUCT(DCF!$B$5:$K$5,1/(1+$A$7)^DCF!$B$6:$K$6)+DCF!$B$11*(1+C$4)*(1-C$4/DCF!$B$14)/($A$7-C$4)/(1+$A$7)^(10-0.5)-Assumptions!$B$10-Assumptions!$B$9)/Assumptions!$B$6</f>
        <v/>
      </c>
      <c r="D7" s="16">
        <f>(SUMPRODUCT(DCF!$B$5:$K$5,1/(1+$A$7)^DCF!$B$6:$K$6)+DCF!$B$11*(1+D$4)*(1-D$4/DCF!$B$14)/($A$7-D$4)/(1+$A$7)^(10-0.5)-Assumptions!$B$10-Assumptions!$B$9)/Assumptions!$B$6</f>
        <v/>
      </c>
      <c r="E7" s="16">
        <f>(SUMPRODUCT(DCF!$B$5:$K$5,1/(1+$A$7)^DCF!$B$6:$K$6)+DCF!$B$11*(1+E$4)*(1-E$4/DCF!$B$14)/($A$7-E$4)/(1+$A$7)^(10-0.5)-Assumptions!$B$10-Assumptions!$B$9)/Assumptions!$B$6</f>
        <v/>
      </c>
      <c r="F7" s="16">
        <f>(SUMPRODUCT(DCF!$B$5:$K$5,1/(1+$A$7)^DCF!$B$6:$K$6)+DCF!$B$11*(1+F$4)*(1-F$4/DCF!$B$14)/($A$7-F$4)/(1+$A$7)^(10-0.5)-Assumptions!$B$10-Assumptions!$B$9)/Assumptions!$B$6</f>
        <v/>
      </c>
    </row>
    <row r="8">
      <c r="A8" s="15" t="n">
        <v>0.07935593225399973</v>
      </c>
      <c r="B8" s="16">
        <f>(SUMPRODUCT(DCF!$B$5:$K$5,1/(1+$A$8)^DCF!$B$6:$K$6)+DCF!$B$11*(1+B$4)*(1-B$4/DCF!$B$14)/($A$8-B$4)/(1+$A$8)^(10-0.5)-Assumptions!$B$10-Assumptions!$B$9)/Assumptions!$B$6</f>
        <v/>
      </c>
      <c r="C8" s="16">
        <f>(SUMPRODUCT(DCF!$B$5:$K$5,1/(1+$A$8)^DCF!$B$6:$K$6)+DCF!$B$11*(1+C$4)*(1-C$4/DCF!$B$14)/($A$8-C$4)/(1+$A$8)^(10-0.5)-Assumptions!$B$10-Assumptions!$B$9)/Assumptions!$B$6</f>
        <v/>
      </c>
      <c r="D8" s="16">
        <f>(SUMPRODUCT(DCF!$B$5:$K$5,1/(1+$A$8)^DCF!$B$6:$K$6)+DCF!$B$11*(1+D$4)*(1-D$4/DCF!$B$14)/($A$8-D$4)/(1+$A$8)^(10-0.5)-Assumptions!$B$10-Assumptions!$B$9)/Assumptions!$B$6</f>
        <v/>
      </c>
      <c r="E8" s="16">
        <f>(SUMPRODUCT(DCF!$B$5:$K$5,1/(1+$A$8)^DCF!$B$6:$K$6)+DCF!$B$11*(1+E$4)*(1-E$4/DCF!$B$14)/($A$8-E$4)/(1+$A$8)^(10-0.5)-Assumptions!$B$10-Assumptions!$B$9)/Assumptions!$B$6</f>
        <v/>
      </c>
      <c r="F8" s="16">
        <f>(SUMPRODUCT(DCF!$B$5:$K$5,1/(1+$A$8)^DCF!$B$6:$K$6)+DCF!$B$11*(1+F$4)*(1-F$4/DCF!$B$14)/($A$8-F$4)/(1+$A$8)^(10-0.5)-Assumptions!$B$10-Assumptions!$B$9)/Assumptions!$B$6</f>
        <v/>
      </c>
    </row>
    <row r="9">
      <c r="A9" s="15" t="n">
        <v>0.08685593225399973</v>
      </c>
      <c r="B9" s="16">
        <f>(SUMPRODUCT(DCF!$B$5:$K$5,1/(1+$A$9)^DCF!$B$6:$K$6)+DCF!$B$11*(1+B$4)*(1-B$4/DCF!$B$14)/($A$9-B$4)/(1+$A$9)^(10-0.5)-Assumptions!$B$10-Assumptions!$B$9)/Assumptions!$B$6</f>
        <v/>
      </c>
      <c r="C9" s="16">
        <f>(SUMPRODUCT(DCF!$B$5:$K$5,1/(1+$A$9)^DCF!$B$6:$K$6)+DCF!$B$11*(1+C$4)*(1-C$4/DCF!$B$14)/($A$9-C$4)/(1+$A$9)^(10-0.5)-Assumptions!$B$10-Assumptions!$B$9)/Assumptions!$B$6</f>
        <v/>
      </c>
      <c r="D9" s="16">
        <f>(SUMPRODUCT(DCF!$B$5:$K$5,1/(1+$A$9)^DCF!$B$6:$K$6)+DCF!$B$11*(1+D$4)*(1-D$4/DCF!$B$14)/($A$9-D$4)/(1+$A$9)^(10-0.5)-Assumptions!$B$10-Assumptions!$B$9)/Assumptions!$B$6</f>
        <v/>
      </c>
      <c r="E9" s="16">
        <f>(SUMPRODUCT(DCF!$B$5:$K$5,1/(1+$A$9)^DCF!$B$6:$K$6)+DCF!$B$11*(1+E$4)*(1-E$4/DCF!$B$14)/($A$9-E$4)/(1+$A$9)^(10-0.5)-Assumptions!$B$10-Assumptions!$B$9)/Assumptions!$B$6</f>
        <v/>
      </c>
      <c r="F9" s="16">
        <f>(SUMPRODUCT(DCF!$B$5:$K$5,1/(1+$A$9)^DCF!$B$6:$K$6)+DCF!$B$11*(1+F$4)*(1-F$4/DCF!$B$14)/($A$9-F$4)/(1+$A$9)^(10-0.5)-Assumptions!$B$10-Assumptions!$B$9)/Assumptions!$B$6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Multi-stage dividend discount</t>
        </is>
      </c>
    </row>
    <row r="2">
      <c r="A2" s="2" t="inlineStr">
        <is>
          <t>Dividends fade from the retention-implied growth to terminal g, at Ke.</t>
        </is>
      </c>
    </row>
    <row r="4">
      <c r="A4" s="3" t="inlineStr">
        <is>
          <t>Current DPS (USD)</t>
        </is>
      </c>
      <c r="B4" s="6" t="n">
        <v>2.88</v>
      </c>
    </row>
    <row r="5">
      <c r="A5" s="3" t="inlineStr">
        <is>
          <t>Near-term dividend growth</t>
        </is>
      </c>
      <c r="B5" s="36" t="n">
        <v>0.06</v>
      </c>
    </row>
    <row r="6">
      <c r="A6" s="3" t="inlineStr">
        <is>
          <t>Terminal growth</t>
        </is>
      </c>
      <c r="B6" s="33">
        <f>Assumptions!$B$22</f>
        <v/>
      </c>
    </row>
    <row r="7">
      <c r="A7" s="3" t="inlineStr">
        <is>
          <t>Cost of equity (Ke)</t>
        </is>
      </c>
      <c r="B7" s="7">
        <f>WACC!$B$4</f>
        <v/>
      </c>
    </row>
    <row r="9">
      <c r="A9" s="9" t="inlineStr">
        <is>
          <t>Year</t>
        </is>
      </c>
      <c r="B9" s="10" t="inlineStr">
        <is>
          <t>Y1</t>
        </is>
      </c>
      <c r="C9" s="10" t="inlineStr">
        <is>
          <t>Y2</t>
        </is>
      </c>
      <c r="D9" s="10" t="inlineStr">
        <is>
          <t>Y3</t>
        </is>
      </c>
      <c r="E9" s="10" t="inlineStr">
        <is>
          <t>Y4</t>
        </is>
      </c>
      <c r="F9" s="10" t="inlineStr">
        <is>
          <t>Y5</t>
        </is>
      </c>
      <c r="G9" s="10" t="inlineStr">
        <is>
          <t>Y6</t>
        </is>
      </c>
    </row>
    <row r="10">
      <c r="A10" s="3" t="inlineStr">
        <is>
          <t>Growth (fade)</t>
        </is>
      </c>
      <c r="B10" s="12">
        <f>$B$5+($B$6-$B$5)*0/5</f>
        <v/>
      </c>
      <c r="C10" s="12">
        <f>$B$5+($B$6-$B$5)*1/5</f>
        <v/>
      </c>
      <c r="D10" s="12">
        <f>$B$5+($B$6-$B$5)*2/5</f>
        <v/>
      </c>
      <c r="E10" s="12">
        <f>$B$5+($B$6-$B$5)*3/5</f>
        <v/>
      </c>
      <c r="F10" s="12">
        <f>$B$5+($B$6-$B$5)*4/5</f>
        <v/>
      </c>
      <c r="G10" s="12">
        <f>$B$5+($B$6-$B$5)*5/5</f>
        <v/>
      </c>
    </row>
    <row r="11">
      <c r="A11" s="3" t="inlineStr">
        <is>
          <t>DPS</t>
        </is>
      </c>
      <c r="B11" s="16">
        <f>$B$4*(1+B10)</f>
        <v/>
      </c>
      <c r="C11" s="16">
        <f>B11*(1+C10)</f>
        <v/>
      </c>
      <c r="D11" s="16">
        <f>C11*(1+D10)</f>
        <v/>
      </c>
      <c r="E11" s="16">
        <f>D11*(1+E10)</f>
        <v/>
      </c>
      <c r="F11" s="16">
        <f>E11*(1+F10)</f>
        <v/>
      </c>
      <c r="G11" s="16">
        <f>F11*(1+G10)</f>
        <v/>
      </c>
    </row>
    <row r="12">
      <c r="A12" s="3" t="inlineStr">
        <is>
          <t>PV of DPS</t>
        </is>
      </c>
      <c r="B12" s="16">
        <f>B11/(1+$B$7)^1</f>
        <v/>
      </c>
      <c r="C12" s="16">
        <f>C11/(1+$B$7)^2</f>
        <v/>
      </c>
      <c r="D12" s="16">
        <f>D11/(1+$B$7)^3</f>
        <v/>
      </c>
      <c r="E12" s="16">
        <f>E11/(1+$B$7)^4</f>
        <v/>
      </c>
      <c r="F12" s="16">
        <f>F11/(1+$B$7)^5</f>
        <v/>
      </c>
      <c r="G12" s="16">
        <f>G11/(1+$B$7)^6</f>
        <v/>
      </c>
    </row>
    <row r="14">
      <c r="A14" s="3" t="inlineStr">
        <is>
          <t>PV explicit dividends</t>
        </is>
      </c>
      <c r="B14" s="16">
        <f>SUM(B12:G12)</f>
        <v/>
      </c>
    </row>
    <row r="15">
      <c r="A15" s="3" t="inlineStr">
        <is>
          <t>PV terminal value</t>
        </is>
      </c>
      <c r="B15" s="16">
        <f>G11*(1+$B$6)/($B$7-$B$6)/(1+$B$7)^6</f>
        <v/>
      </c>
    </row>
    <row r="16">
      <c r="A16" s="13" t="inlineStr">
        <is>
          <t>Value per share</t>
        </is>
      </c>
      <c r="B16" s="17">
        <f>$B$14+$B$15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BG — IS (reported)</t>
        </is>
      </c>
    </row>
    <row r="2">
      <c r="A2" s="2" t="inlineStr">
        <is>
          <t>As reported by yfinance (USDmm). Hardcoded actuals.</t>
        </is>
      </c>
    </row>
    <row r="4">
      <c r="A4" s="9" t="inlineStr">
        <is>
          <t>Line item</t>
        </is>
      </c>
      <c r="B4" s="10" t="inlineStr">
        <is>
          <t>FY2021</t>
        </is>
      </c>
      <c r="C4" s="10" t="inlineStr">
        <is>
          <t>FY2022</t>
        </is>
      </c>
      <c r="D4" s="10" t="inlineStr">
        <is>
          <t>FY2023</t>
        </is>
      </c>
      <c r="E4" s="10" t="inlineStr">
        <is>
          <t>FY2024</t>
        </is>
      </c>
      <c r="F4" s="10" t="inlineStr">
        <is>
          <t>FY2025</t>
        </is>
      </c>
    </row>
    <row r="5">
      <c r="A5" s="3" t="inlineStr">
        <is>
          <t>Tax Effect Of Unusual Items</t>
        </is>
      </c>
      <c r="C5" s="25" t="n">
        <v>-2.06582768635</v>
      </c>
      <c r="D5" s="25" t="n">
        <v>4.680432645034</v>
      </c>
      <c r="E5" s="25" t="n">
        <v>-41.669291338583</v>
      </c>
      <c r="F5" s="25" t="n">
        <v>-12.954</v>
      </c>
    </row>
    <row r="6">
      <c r="A6" s="3" t="inlineStr">
        <is>
          <t>Tax Rate For Calcs</t>
        </is>
      </c>
      <c r="C6" s="25" t="n">
        <v>1.87803e-07</v>
      </c>
      <c r="D6" s="25" t="n">
        <v>2.34022e-07</v>
      </c>
      <c r="E6" s="25" t="n">
        <v>2.20472e-07</v>
      </c>
      <c r="F6" s="25" t="n">
        <v>2.54e-07</v>
      </c>
    </row>
    <row r="7">
      <c r="A7" s="3" t="inlineStr">
        <is>
          <t>Normalized EBITDA</t>
        </is>
      </c>
      <c r="C7" s="25" t="n">
        <v>2888</v>
      </c>
      <c r="D7" s="25" t="n">
        <v>3998</v>
      </c>
      <c r="E7" s="25" t="n">
        <v>2652</v>
      </c>
      <c r="F7" s="25" t="n">
        <v>2516</v>
      </c>
    </row>
    <row r="8">
      <c r="A8" s="3" t="inlineStr">
        <is>
          <t>Total Unusual Items</t>
        </is>
      </c>
      <c r="C8" s="25" t="n">
        <v>-11</v>
      </c>
      <c r="D8" s="25" t="n">
        <v>20</v>
      </c>
      <c r="E8" s="25" t="n">
        <v>-189</v>
      </c>
      <c r="F8" s="25" t="n">
        <v>-51</v>
      </c>
    </row>
    <row r="9">
      <c r="A9" s="3" t="inlineStr">
        <is>
          <t>Total Unusual Items Excluding Goodwill</t>
        </is>
      </c>
      <c r="C9" s="25" t="n">
        <v>-11</v>
      </c>
      <c r="D9" s="25" t="n">
        <v>20</v>
      </c>
      <c r="E9" s="25" t="n">
        <v>-189</v>
      </c>
      <c r="F9" s="25" t="n">
        <v>-51</v>
      </c>
    </row>
    <row r="10">
      <c r="A10" s="3" t="inlineStr">
        <is>
          <t>Net Income From Continuing Operation Net Minority Interest</t>
        </is>
      </c>
      <c r="C10" s="25" t="n">
        <v>1610</v>
      </c>
      <c r="D10" s="25" t="n">
        <v>2243</v>
      </c>
      <c r="E10" s="25" t="n">
        <v>1137</v>
      </c>
      <c r="F10" s="25" t="n">
        <v>819</v>
      </c>
    </row>
    <row r="11">
      <c r="A11" s="3" t="inlineStr">
        <is>
          <t>Reconciled Depreciation</t>
        </is>
      </c>
      <c r="C11" s="25" t="n">
        <v>408</v>
      </c>
      <c r="D11" s="25" t="n">
        <v>451</v>
      </c>
      <c r="E11" s="25" t="n">
        <v>468</v>
      </c>
      <c r="F11" s="25" t="n">
        <v>703</v>
      </c>
    </row>
    <row r="12">
      <c r="A12" s="3" t="inlineStr">
        <is>
          <t>Reconciled Cost Of Revenue</t>
        </is>
      </c>
      <c r="C12" s="25" t="n">
        <v>63550</v>
      </c>
      <c r="D12" s="25" t="n">
        <v>54695</v>
      </c>
      <c r="E12" s="25" t="n">
        <v>49715</v>
      </c>
      <c r="F12" s="25" t="n">
        <v>66920</v>
      </c>
    </row>
    <row r="13">
      <c r="A13" s="3" t="inlineStr">
        <is>
          <t>EBITDA</t>
        </is>
      </c>
      <c r="C13" s="25" t="n">
        <v>2877</v>
      </c>
      <c r="D13" s="25" t="n">
        <v>4018</v>
      </c>
      <c r="E13" s="25" t="n">
        <v>2463</v>
      </c>
      <c r="F13" s="25" t="n">
        <v>2465</v>
      </c>
    </row>
    <row r="14">
      <c r="A14" s="3" t="inlineStr">
        <is>
          <t>EBIT</t>
        </is>
      </c>
      <c r="C14" s="25" t="n">
        <v>2469</v>
      </c>
      <c r="D14" s="25" t="n">
        <v>3567</v>
      </c>
      <c r="E14" s="25" t="n">
        <v>1995</v>
      </c>
      <c r="F14" s="25" t="n">
        <v>1762</v>
      </c>
    </row>
    <row r="15">
      <c r="A15" s="3" t="inlineStr">
        <is>
          <t>Net Interest Income</t>
        </is>
      </c>
      <c r="C15" s="25" t="n">
        <v>-332</v>
      </c>
      <c r="D15" s="25" t="n">
        <v>-368</v>
      </c>
      <c r="E15" s="25" t="n">
        <v>-308</v>
      </c>
      <c r="F15" s="25" t="n">
        <v>-426</v>
      </c>
    </row>
    <row r="16">
      <c r="A16" s="3" t="inlineStr">
        <is>
          <t>Interest Expense</t>
        </is>
      </c>
      <c r="C16" s="25" t="n">
        <v>403</v>
      </c>
      <c r="D16" s="25" t="n">
        <v>516</v>
      </c>
      <c r="E16" s="25" t="n">
        <v>471</v>
      </c>
      <c r="F16" s="25" t="n">
        <v>628</v>
      </c>
    </row>
    <row r="17">
      <c r="A17" s="3" t="inlineStr">
        <is>
          <t>Interest Income</t>
        </is>
      </c>
      <c r="C17" s="25" t="n">
        <v>71</v>
      </c>
      <c r="D17" s="25" t="n">
        <v>148</v>
      </c>
      <c r="E17" s="25" t="n">
        <v>163</v>
      </c>
      <c r="F17" s="25" t="n">
        <v>202</v>
      </c>
    </row>
    <row r="18">
      <c r="A18" s="3" t="inlineStr">
        <is>
          <t>Normalized Income</t>
        </is>
      </c>
      <c r="C18" s="25" t="n">
        <v>1618.93417231365</v>
      </c>
      <c r="D18" s="25" t="n">
        <v>2227.680432645034</v>
      </c>
      <c r="E18" s="25" t="n">
        <v>1284.330708661417</v>
      </c>
      <c r="F18" s="25" t="n">
        <v>857.046</v>
      </c>
    </row>
    <row r="19">
      <c r="A19" s="3" t="inlineStr">
        <is>
          <t>Net Income From Continuing And Discontinued Operation</t>
        </is>
      </c>
      <c r="C19" s="25" t="n">
        <v>1610</v>
      </c>
      <c r="D19" s="25" t="n">
        <v>2243</v>
      </c>
      <c r="E19" s="25" t="n">
        <v>1137</v>
      </c>
      <c r="F19" s="25" t="n">
        <v>816</v>
      </c>
    </row>
    <row r="20">
      <c r="A20" s="3" t="inlineStr">
        <is>
          <t>Total Expenses</t>
        </is>
      </c>
      <c r="C20" s="25" t="n">
        <v>64919</v>
      </c>
      <c r="D20" s="25" t="n">
        <v>56410</v>
      </c>
      <c r="E20" s="25" t="n">
        <v>51491</v>
      </c>
      <c r="F20" s="25" t="n">
        <v>69033</v>
      </c>
    </row>
    <row r="21">
      <c r="A21" s="3" t="inlineStr">
        <is>
          <t>Diluted Average Shares</t>
        </is>
      </c>
      <c r="C21" s="25" t="n">
        <v>153</v>
      </c>
      <c r="D21" s="25" t="n">
        <v>150.787917</v>
      </c>
      <c r="E21" s="25" t="n">
        <v>142</v>
      </c>
      <c r="F21" s="25" t="n">
        <v>193.408656</v>
      </c>
    </row>
    <row r="22">
      <c r="A22" s="3" t="inlineStr">
        <is>
          <t>Basic Average Shares</t>
        </is>
      </c>
      <c r="C22" s="25" t="n">
        <v>149.907932</v>
      </c>
      <c r="D22" s="25" t="n">
        <v>148.804387</v>
      </c>
      <c r="E22" s="25" t="n">
        <v>133.964235</v>
      </c>
      <c r="F22" s="25" t="n">
        <v>193.408656</v>
      </c>
    </row>
    <row r="23">
      <c r="A23" s="3" t="inlineStr">
        <is>
          <t>Diluted EPS</t>
        </is>
      </c>
      <c r="C23" s="25" t="n">
        <v>1.051e-05</v>
      </c>
      <c r="D23" s="25" t="n">
        <v>1.487e-05</v>
      </c>
      <c r="E23" s="25" t="n">
        <v>7.99e-06</v>
      </c>
      <c r="F23" s="25" t="n">
        <v>4.219046e-06</v>
      </c>
    </row>
    <row r="24">
      <c r="A24" s="3" t="inlineStr">
        <is>
          <t>Basic EPS</t>
        </is>
      </c>
      <c r="C24" s="25" t="n">
        <v>1.0739925e-05</v>
      </c>
      <c r="D24" s="25" t="n">
        <v>1.507e-05</v>
      </c>
      <c r="E24" s="25" t="n">
        <v>8.48734e-06</v>
      </c>
      <c r="F24" s="25" t="n">
        <v>4.219046e-06</v>
      </c>
    </row>
    <row r="25">
      <c r="A25" s="3" t="inlineStr">
        <is>
          <t>Diluted NI Availto Com Stockholders</t>
        </is>
      </c>
      <c r="C25" s="25" t="n">
        <v>1610</v>
      </c>
      <c r="D25" s="25" t="n">
        <v>2243</v>
      </c>
      <c r="E25" s="25" t="n">
        <v>1137</v>
      </c>
      <c r="F25" s="25" t="n">
        <v>816</v>
      </c>
    </row>
    <row r="26">
      <c r="A26" s="3" t="inlineStr">
        <is>
          <t>Net Income Common Stockholders</t>
        </is>
      </c>
      <c r="C26" s="25" t="n">
        <v>1610</v>
      </c>
      <c r="D26" s="25" t="n">
        <v>2243</v>
      </c>
      <c r="E26" s="25" t="n">
        <v>1137</v>
      </c>
      <c r="F26" s="25" t="n">
        <v>816</v>
      </c>
    </row>
    <row r="27">
      <c r="A27" s="3" t="inlineStr">
        <is>
          <t>Otherunder Preferred Stock Dividend</t>
        </is>
      </c>
      <c r="B27" s="25" t="n">
        <v>0</v>
      </c>
      <c r="C27" s="25" t="n">
        <v>0</v>
      </c>
    </row>
    <row r="28">
      <c r="A28" s="3" t="inlineStr">
        <is>
          <t>Preferred Stock Dividends</t>
        </is>
      </c>
      <c r="B28" s="25" t="n">
        <v>34</v>
      </c>
    </row>
    <row r="29">
      <c r="A29" s="3" t="inlineStr">
        <is>
          <t>Net Income</t>
        </is>
      </c>
      <c r="C29" s="25" t="n">
        <v>1610</v>
      </c>
      <c r="D29" s="25" t="n">
        <v>2243</v>
      </c>
      <c r="E29" s="25" t="n">
        <v>1137</v>
      </c>
      <c r="F29" s="25" t="n">
        <v>816</v>
      </c>
    </row>
    <row r="30">
      <c r="A30" s="3" t="inlineStr">
        <is>
          <t>Minority Interests</t>
        </is>
      </c>
      <c r="C30" s="25" t="n">
        <v>-68</v>
      </c>
      <c r="D30" s="25" t="n">
        <v>-94</v>
      </c>
      <c r="E30" s="25" t="n">
        <v>-51</v>
      </c>
      <c r="F30" s="25" t="n">
        <v>-27</v>
      </c>
    </row>
    <row r="31">
      <c r="A31" s="3" t="inlineStr">
        <is>
          <t>Net Income Including Noncontrolling Interests</t>
        </is>
      </c>
      <c r="C31" s="25" t="n">
        <v>1678</v>
      </c>
      <c r="D31" s="25" t="n">
        <v>2337</v>
      </c>
      <c r="E31" s="25" t="n">
        <v>1188</v>
      </c>
      <c r="F31" s="25" t="n">
        <v>843</v>
      </c>
    </row>
    <row r="32">
      <c r="A32" s="3" t="inlineStr">
        <is>
          <t>Net Income Discontinuous Operations</t>
        </is>
      </c>
      <c r="D32" s="25" t="n">
        <v>0</v>
      </c>
      <c r="E32" s="25" t="n">
        <v>0</v>
      </c>
      <c r="F32" s="25" t="n">
        <v>-3</v>
      </c>
    </row>
    <row r="33">
      <c r="A33" s="3" t="inlineStr">
        <is>
          <t>Net Income Continuous Operations</t>
        </is>
      </c>
      <c r="C33" s="25" t="n">
        <v>1678</v>
      </c>
      <c r="D33" s="25" t="n">
        <v>2337</v>
      </c>
      <c r="E33" s="25" t="n">
        <v>1188</v>
      </c>
      <c r="F33" s="25" t="n">
        <v>846</v>
      </c>
    </row>
    <row r="34">
      <c r="A34" s="3" t="inlineStr">
        <is>
          <t>Tax Provision</t>
        </is>
      </c>
      <c r="C34" s="25" t="n">
        <v>388</v>
      </c>
      <c r="D34" s="25" t="n">
        <v>714</v>
      </c>
      <c r="E34" s="25" t="n">
        <v>336</v>
      </c>
      <c r="F34" s="25" t="n">
        <v>288</v>
      </c>
    </row>
    <row r="35">
      <c r="A35" s="3" t="inlineStr">
        <is>
          <t>Pretax Income</t>
        </is>
      </c>
      <c r="C35" s="25" t="n">
        <v>2066</v>
      </c>
      <c r="D35" s="25" t="n">
        <v>3051</v>
      </c>
      <c r="E35" s="25" t="n">
        <v>1524</v>
      </c>
      <c r="F35" s="25" t="n">
        <v>1134</v>
      </c>
    </row>
    <row r="36">
      <c r="A36" s="3" t="inlineStr">
        <is>
          <t>Other Income Expense</t>
        </is>
      </c>
      <c r="C36" s="25" t="n">
        <v>85</v>
      </c>
      <c r="D36" s="25" t="n">
        <v>289</v>
      </c>
      <c r="E36" s="25" t="n">
        <v>215</v>
      </c>
      <c r="F36" s="25" t="n">
        <v>264</v>
      </c>
    </row>
    <row r="37">
      <c r="A37" s="3" t="inlineStr">
        <is>
          <t>Other Non Operating Income Expenses</t>
        </is>
      </c>
      <c r="C37" s="25" t="n">
        <v>-9</v>
      </c>
      <c r="D37" s="25" t="n">
        <v>129</v>
      </c>
      <c r="E37" s="25" t="n">
        <v>442</v>
      </c>
      <c r="F37" s="25" t="n">
        <v>289</v>
      </c>
    </row>
    <row r="38">
      <c r="A38" s="3" t="inlineStr">
        <is>
          <t>Special Income Charges</t>
        </is>
      </c>
      <c r="B38" s="25" t="n">
        <v>0</v>
      </c>
    </row>
    <row r="39">
      <c r="A39" s="3" t="inlineStr">
        <is>
          <t>Impairment Of Capital Assets</t>
        </is>
      </c>
      <c r="B39" s="25" t="n">
        <v>0</v>
      </c>
    </row>
    <row r="40">
      <c r="A40" s="3" t="inlineStr">
        <is>
          <t>Earnings From Equity Interest</t>
        </is>
      </c>
      <c r="C40" s="25" t="n">
        <v>105</v>
      </c>
      <c r="D40" s="25" t="n">
        <v>140</v>
      </c>
      <c r="E40" s="25" t="n">
        <v>-38</v>
      </c>
      <c r="F40" s="25" t="n">
        <v>26</v>
      </c>
    </row>
    <row r="41">
      <c r="A41" s="3" t="inlineStr">
        <is>
          <t>Gain On Sale Of Security</t>
        </is>
      </c>
      <c r="C41" s="25" t="n">
        <v>-11</v>
      </c>
      <c r="D41" s="25" t="n">
        <v>20</v>
      </c>
      <c r="E41" s="25" t="n">
        <v>-189</v>
      </c>
      <c r="F41" s="25" t="n">
        <v>-51</v>
      </c>
    </row>
    <row r="42">
      <c r="A42" s="3" t="inlineStr">
        <is>
          <t>Net Non Operating Interest Income Expense</t>
        </is>
      </c>
      <c r="C42" s="25" t="n">
        <v>-332</v>
      </c>
      <c r="D42" s="25" t="n">
        <v>-368</v>
      </c>
      <c r="E42" s="25" t="n">
        <v>-308</v>
      </c>
      <c r="F42" s="25" t="n">
        <v>-426</v>
      </c>
    </row>
    <row r="43">
      <c r="A43" s="3" t="inlineStr">
        <is>
          <t>Interest Expense Non Operating</t>
        </is>
      </c>
      <c r="C43" s="25" t="n">
        <v>403</v>
      </c>
      <c r="D43" s="25" t="n">
        <v>516</v>
      </c>
      <c r="E43" s="25" t="n">
        <v>471</v>
      </c>
      <c r="F43" s="25" t="n">
        <v>628</v>
      </c>
    </row>
    <row r="44">
      <c r="A44" s="3" t="inlineStr">
        <is>
          <t>Interest Income Non Operating</t>
        </is>
      </c>
      <c r="C44" s="25" t="n">
        <v>71</v>
      </c>
      <c r="D44" s="25" t="n">
        <v>148</v>
      </c>
      <c r="E44" s="25" t="n">
        <v>163</v>
      </c>
      <c r="F44" s="25" t="n">
        <v>202</v>
      </c>
    </row>
    <row r="45">
      <c r="A45" s="3" t="inlineStr">
        <is>
          <t>Operating Income</t>
        </is>
      </c>
      <c r="C45" s="25" t="n">
        <v>2313</v>
      </c>
      <c r="D45" s="25" t="n">
        <v>3130</v>
      </c>
      <c r="E45" s="25" t="n">
        <v>1617</v>
      </c>
      <c r="F45" s="25" t="n">
        <v>1296</v>
      </c>
    </row>
    <row r="46">
      <c r="A46" s="3" t="inlineStr">
        <is>
          <t>Operating Expense</t>
        </is>
      </c>
      <c r="C46" s="25" t="n">
        <v>1369</v>
      </c>
      <c r="D46" s="25" t="n">
        <v>1715</v>
      </c>
      <c r="E46" s="25" t="n">
        <v>1776</v>
      </c>
      <c r="F46" s="25" t="n">
        <v>2113</v>
      </c>
    </row>
    <row r="47">
      <c r="A47" s="3" t="inlineStr">
        <is>
          <t>Selling General And Administration</t>
        </is>
      </c>
      <c r="C47" s="25" t="n">
        <v>1369</v>
      </c>
      <c r="D47" s="25" t="n">
        <v>1715</v>
      </c>
      <c r="E47" s="25" t="n">
        <v>1776</v>
      </c>
      <c r="F47" s="25" t="n">
        <v>2113</v>
      </c>
    </row>
    <row r="48">
      <c r="A48" s="3" t="inlineStr">
        <is>
          <t>Gross Profit</t>
        </is>
      </c>
      <c r="C48" s="25" t="n">
        <v>3682</v>
      </c>
      <c r="D48" s="25" t="n">
        <v>4845</v>
      </c>
      <c r="E48" s="25" t="n">
        <v>3393</v>
      </c>
      <c r="F48" s="25" t="n">
        <v>3409</v>
      </c>
    </row>
    <row r="49">
      <c r="A49" s="3" t="inlineStr">
        <is>
          <t>Cost Of Revenue</t>
        </is>
      </c>
      <c r="C49" s="25" t="n">
        <v>63550</v>
      </c>
      <c r="D49" s="25" t="n">
        <v>54695</v>
      </c>
      <c r="E49" s="25" t="n">
        <v>49715</v>
      </c>
      <c r="F49" s="25" t="n">
        <v>66920</v>
      </c>
    </row>
    <row r="50">
      <c r="A50" s="3" t="inlineStr">
        <is>
          <t>Total Revenue</t>
        </is>
      </c>
      <c r="C50" s="25" t="n">
        <v>67232</v>
      </c>
      <c r="D50" s="25" t="n">
        <v>59540</v>
      </c>
      <c r="E50" s="25" t="n">
        <v>53108</v>
      </c>
      <c r="F50" s="25" t="n">
        <v>70329</v>
      </c>
    </row>
    <row r="51">
      <c r="A51" s="3" t="inlineStr">
        <is>
          <t>Operating Revenue</t>
        </is>
      </c>
      <c r="C51" s="25" t="n">
        <v>67232</v>
      </c>
      <c r="D51" s="25" t="n">
        <v>59535</v>
      </c>
      <c r="E51" s="25" t="n">
        <v>53105</v>
      </c>
      <c r="F51" s="25" t="n">
        <v>70326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3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BG — BS (reported)</t>
        </is>
      </c>
    </row>
    <row r="2">
      <c r="A2" s="2" t="inlineStr">
        <is>
          <t>As reported by yfinance (USDmm). Hardcoded actuals.</t>
        </is>
      </c>
    </row>
    <row r="4">
      <c r="A4" s="9" t="inlineStr">
        <is>
          <t>Line item</t>
        </is>
      </c>
      <c r="B4" s="10" t="inlineStr">
        <is>
          <t>FY2021</t>
        </is>
      </c>
      <c r="C4" s="10" t="inlineStr">
        <is>
          <t>FY2022</t>
        </is>
      </c>
      <c r="D4" s="10" t="inlineStr">
        <is>
          <t>FY2023</t>
        </is>
      </c>
      <c r="E4" s="10" t="inlineStr">
        <is>
          <t>FY2024</t>
        </is>
      </c>
      <c r="F4" s="10" t="inlineStr">
        <is>
          <t>FY2025</t>
        </is>
      </c>
    </row>
    <row r="5">
      <c r="A5" s="3" t="inlineStr">
        <is>
          <t>Treasury Shares Number</t>
        </is>
      </c>
      <c r="C5" s="25" t="n">
        <v>18.835812</v>
      </c>
      <c r="D5" s="25" t="n">
        <v>16.109804</v>
      </c>
      <c r="E5" s="25" t="n">
        <v>21.318307</v>
      </c>
      <c r="F5" s="25" t="n">
        <v>15.103107</v>
      </c>
    </row>
    <row r="6">
      <c r="A6" s="3" t="inlineStr">
        <is>
          <t>Preferred Shares Number</t>
        </is>
      </c>
      <c r="B6" s="25" t="n">
        <v>6.899683</v>
      </c>
    </row>
    <row r="7">
      <c r="A7" s="3" t="inlineStr">
        <is>
          <t>Ordinary Shares Number</t>
        </is>
      </c>
      <c r="C7" s="25" t="n">
        <v>149.907932</v>
      </c>
      <c r="D7" s="25" t="n">
        <v>149.907932</v>
      </c>
      <c r="E7" s="25" t="n">
        <v>133.964235</v>
      </c>
      <c r="F7" s="25" t="n">
        <v>193.408656</v>
      </c>
    </row>
    <row r="8">
      <c r="A8" s="3" t="inlineStr">
        <is>
          <t>Share Issued</t>
        </is>
      </c>
      <c r="C8" s="25" t="n">
        <v>168.743744</v>
      </c>
      <c r="D8" s="25" t="n">
        <v>166.017736</v>
      </c>
      <c r="E8" s="25" t="n">
        <v>155.282542</v>
      </c>
      <c r="F8" s="25" t="n">
        <v>208.511763</v>
      </c>
    </row>
    <row r="9">
      <c r="A9" s="3" t="inlineStr">
        <is>
          <t>Net Debt</t>
        </is>
      </c>
      <c r="C9" s="25" t="n">
        <v>3547</v>
      </c>
      <c r="D9" s="25" t="n">
        <v>2280</v>
      </c>
      <c r="E9" s="25" t="n">
        <v>2927</v>
      </c>
      <c r="F9" s="25" t="n">
        <v>13124</v>
      </c>
    </row>
    <row r="10">
      <c r="A10" s="3" t="inlineStr">
        <is>
          <t>Total Debt</t>
        </is>
      </c>
      <c r="C10" s="25" t="n">
        <v>5623</v>
      </c>
      <c r="D10" s="25" t="n">
        <v>5756</v>
      </c>
      <c r="E10" s="25" t="n">
        <v>7119</v>
      </c>
      <c r="F10" s="25" t="n">
        <v>15855</v>
      </c>
    </row>
    <row r="11">
      <c r="A11" s="3" t="inlineStr">
        <is>
          <t>Tangible Book Value</t>
        </is>
      </c>
      <c r="C11" s="25" t="n">
        <v>8394</v>
      </c>
      <c r="D11" s="25" t="n">
        <v>9964</v>
      </c>
      <c r="E11" s="25" t="n">
        <v>9139</v>
      </c>
      <c r="F11" s="25" t="n">
        <v>12454</v>
      </c>
    </row>
    <row r="12">
      <c r="A12" s="3" t="inlineStr">
        <is>
          <t>Invested Capital</t>
        </is>
      </c>
      <c r="C12" s="25" t="n">
        <v>13875</v>
      </c>
      <c r="D12" s="25" t="n">
        <v>15733</v>
      </c>
      <c r="E12" s="25" t="n">
        <v>16151</v>
      </c>
      <c r="F12" s="25" t="n">
        <v>30163</v>
      </c>
    </row>
    <row r="13">
      <c r="A13" s="3" t="inlineStr">
        <is>
          <t>Working Capital</t>
        </is>
      </c>
      <c r="C13" s="25" t="n">
        <v>7158</v>
      </c>
      <c r="D13" s="25" t="n">
        <v>8663</v>
      </c>
      <c r="E13" s="25" t="n">
        <v>8523</v>
      </c>
      <c r="F13" s="25" t="n">
        <v>9264</v>
      </c>
    </row>
    <row r="14">
      <c r="A14" s="3" t="inlineStr">
        <is>
          <t>Net Tangible Assets</t>
        </is>
      </c>
      <c r="C14" s="25" t="n">
        <v>8394</v>
      </c>
      <c r="D14" s="25" t="n">
        <v>9964</v>
      </c>
      <c r="E14" s="25" t="n">
        <v>9139</v>
      </c>
      <c r="F14" s="25" t="n">
        <v>12454</v>
      </c>
    </row>
    <row r="15">
      <c r="A15" s="3" t="inlineStr">
        <is>
          <t>Capital Lease Obligations</t>
        </is>
      </c>
      <c r="C15" s="25" t="n">
        <v>972</v>
      </c>
      <c r="D15" s="25" t="n">
        <v>874</v>
      </c>
      <c r="E15" s="25" t="n">
        <v>881</v>
      </c>
      <c r="F15" s="25" t="n">
        <v>1596</v>
      </c>
    </row>
    <row r="16">
      <c r="A16" s="3" t="inlineStr">
        <is>
          <t>Common Stock Equity</t>
        </is>
      </c>
      <c r="C16" s="25" t="n">
        <v>9224</v>
      </c>
      <c r="D16" s="25" t="n">
        <v>10851</v>
      </c>
      <c r="E16" s="25" t="n">
        <v>9913</v>
      </c>
      <c r="F16" s="25" t="n">
        <v>15904</v>
      </c>
    </row>
    <row r="17">
      <c r="A17" s="3" t="inlineStr">
        <is>
          <t>Preferred Stock Equity</t>
        </is>
      </c>
      <c r="B17" s="25" t="n">
        <v>690</v>
      </c>
      <c r="D17" s="25" t="n">
        <v>1</v>
      </c>
    </row>
    <row r="18">
      <c r="A18" s="3" t="inlineStr">
        <is>
          <t>Total Capitalization</t>
        </is>
      </c>
      <c r="C18" s="25" t="n">
        <v>12483</v>
      </c>
      <c r="D18" s="25" t="n">
        <v>14931</v>
      </c>
      <c r="E18" s="25" t="n">
        <v>14607</v>
      </c>
      <c r="F18" s="25" t="n">
        <v>24735</v>
      </c>
    </row>
    <row r="19">
      <c r="A19" s="3" t="inlineStr">
        <is>
          <t>Total Equity Gross Minority Interest</t>
        </is>
      </c>
      <c r="C19" s="25" t="n">
        <v>9960</v>
      </c>
      <c r="D19" s="25" t="n">
        <v>11815</v>
      </c>
      <c r="E19" s="25" t="n">
        <v>10949</v>
      </c>
      <c r="F19" s="25" t="n">
        <v>17422</v>
      </c>
    </row>
    <row r="20">
      <c r="A20" s="3" t="inlineStr">
        <is>
          <t>Minority Interest</t>
        </is>
      </c>
      <c r="C20" s="25" t="n">
        <v>736</v>
      </c>
      <c r="D20" s="25" t="n">
        <v>964</v>
      </c>
      <c r="E20" s="25" t="n">
        <v>1036</v>
      </c>
      <c r="F20" s="25" t="n">
        <v>1518</v>
      </c>
    </row>
    <row r="21">
      <c r="A21" s="3" t="inlineStr">
        <is>
          <t>Stockholders Equity</t>
        </is>
      </c>
      <c r="C21" s="25" t="n">
        <v>9224</v>
      </c>
      <c r="D21" s="25" t="n">
        <v>10851</v>
      </c>
      <c r="E21" s="25" t="n">
        <v>9913</v>
      </c>
      <c r="F21" s="25" t="n">
        <v>15904</v>
      </c>
    </row>
    <row r="22">
      <c r="A22" s="3" t="inlineStr">
        <is>
          <t>Gains Losses Not Affecting Retained Earnings</t>
        </is>
      </c>
      <c r="C22" s="25" t="n">
        <v>-6371</v>
      </c>
      <c r="D22" s="25" t="n">
        <v>-6054</v>
      </c>
      <c r="E22" s="25" t="n">
        <v>-6702</v>
      </c>
      <c r="F22" s="25" t="n">
        <v>-6084</v>
      </c>
    </row>
    <row r="23">
      <c r="A23" s="3" t="inlineStr">
        <is>
          <t>Other Equity Adjustments</t>
        </is>
      </c>
      <c r="C23" s="25" t="n">
        <v>-6371</v>
      </c>
      <c r="D23" s="25" t="n">
        <v>-6054</v>
      </c>
      <c r="E23" s="25" t="n">
        <v>-6702</v>
      </c>
      <c r="F23" s="25" t="n">
        <v>-6084</v>
      </c>
    </row>
    <row r="24">
      <c r="A24" s="3" t="inlineStr">
        <is>
          <t>Treasury Stock</t>
        </is>
      </c>
      <c r="C24" s="25" t="n">
        <v>1320</v>
      </c>
      <c r="D24" s="25" t="n">
        <v>1073</v>
      </c>
      <c r="E24" s="25" t="n">
        <v>1549</v>
      </c>
      <c r="F24" s="25" t="n">
        <v>1007</v>
      </c>
    </row>
    <row r="25">
      <c r="A25" s="3" t="inlineStr">
        <is>
          <t>Retained Earnings</t>
        </is>
      </c>
      <c r="C25" s="25" t="n">
        <v>10222</v>
      </c>
      <c r="D25" s="25" t="n">
        <v>12077</v>
      </c>
      <c r="E25" s="25" t="n">
        <v>12838</v>
      </c>
      <c r="F25" s="25" t="n">
        <v>13152</v>
      </c>
    </row>
    <row r="26">
      <c r="A26" s="3" t="inlineStr">
        <is>
          <t>Additional Paid In Capital</t>
        </is>
      </c>
      <c r="C26" s="25" t="n">
        <v>6692</v>
      </c>
      <c r="D26" s="25" t="n">
        <v>5900</v>
      </c>
      <c r="E26" s="25" t="n">
        <v>5325</v>
      </c>
      <c r="F26" s="25" t="n">
        <v>9841</v>
      </c>
    </row>
    <row r="27">
      <c r="A27" s="3" t="inlineStr">
        <is>
          <t>Capital Stock</t>
        </is>
      </c>
      <c r="C27" s="25" t="n">
        <v>1</v>
      </c>
      <c r="D27" s="25" t="n">
        <v>1</v>
      </c>
      <c r="E27" s="25" t="n">
        <v>1</v>
      </c>
      <c r="F27" s="25" t="n">
        <v>2</v>
      </c>
    </row>
    <row r="28">
      <c r="A28" s="3" t="inlineStr">
        <is>
          <t>Common Stock</t>
        </is>
      </c>
      <c r="C28" s="25" t="n">
        <v>1</v>
      </c>
      <c r="D28" s="25" t="n">
        <v>1</v>
      </c>
      <c r="E28" s="25" t="n">
        <v>1</v>
      </c>
      <c r="F28" s="25" t="n">
        <v>2</v>
      </c>
    </row>
    <row r="29">
      <c r="A29" s="3" t="inlineStr">
        <is>
          <t>Preferred Stock</t>
        </is>
      </c>
      <c r="B29" s="25" t="n">
        <v>690</v>
      </c>
      <c r="C29" s="25" t="n">
        <v>0</v>
      </c>
      <c r="D29" s="25" t="n">
        <v>1</v>
      </c>
    </row>
    <row r="30">
      <c r="A30" s="3" t="inlineStr">
        <is>
          <t>Total Liabilities Net Minority Interest</t>
        </is>
      </c>
      <c r="C30" s="25" t="n">
        <v>14620</v>
      </c>
      <c r="D30" s="25" t="n">
        <v>13557</v>
      </c>
      <c r="E30" s="25" t="n">
        <v>13950</v>
      </c>
      <c r="F30" s="25" t="n">
        <v>27106</v>
      </c>
    </row>
    <row r="31">
      <c r="A31" s="3" t="inlineStr">
        <is>
          <t>Total Non Current Liabilities Net Minority Interest</t>
        </is>
      </c>
      <c r="C31" s="25" t="n">
        <v>5020</v>
      </c>
      <c r="D31" s="25" t="n">
        <v>5870</v>
      </c>
      <c r="E31" s="25" t="n">
        <v>6515</v>
      </c>
      <c r="F31" s="25" t="n">
        <v>11979</v>
      </c>
    </row>
    <row r="32">
      <c r="A32" s="3" t="inlineStr">
        <is>
          <t>Other Non Current Liabilities</t>
        </is>
      </c>
      <c r="C32" s="25" t="n">
        <v>160</v>
      </c>
      <c r="D32" s="25" t="n">
        <v>176</v>
      </c>
      <c r="E32" s="25" t="n">
        <v>164</v>
      </c>
      <c r="F32" s="25" t="n">
        <v>212</v>
      </c>
    </row>
    <row r="33">
      <c r="A33" s="3" t="inlineStr">
        <is>
          <t>Preferred Securities Outside Stock Equity</t>
        </is>
      </c>
      <c r="B33" s="25" t="n">
        <v>381</v>
      </c>
      <c r="C33" s="25" t="n">
        <v>4</v>
      </c>
    </row>
    <row r="34">
      <c r="A34" s="3" t="inlineStr">
        <is>
          <t>Derivative Product Liabilities</t>
        </is>
      </c>
      <c r="C34" s="25" t="n">
        <v>332</v>
      </c>
      <c r="D34" s="25" t="n">
        <v>260</v>
      </c>
      <c r="E34" s="25" t="n">
        <v>232</v>
      </c>
      <c r="F34" s="25" t="n">
        <v>120</v>
      </c>
    </row>
    <row r="35">
      <c r="A35" s="3" t="inlineStr">
        <is>
          <t>Employee Benefits</t>
        </is>
      </c>
      <c r="C35" s="25" t="n">
        <v>152</v>
      </c>
      <c r="D35" s="25" t="n">
        <v>170</v>
      </c>
      <c r="E35" s="25" t="n">
        <v>170</v>
      </c>
      <c r="F35" s="25" t="n">
        <v>180</v>
      </c>
    </row>
    <row r="36">
      <c r="A36" s="3" t="inlineStr">
        <is>
          <t>Non Current Pension And Other Postretirement Benefit Plans</t>
        </is>
      </c>
      <c r="C36" s="25" t="n">
        <v>152</v>
      </c>
      <c r="D36" s="25" t="n">
        <v>170</v>
      </c>
      <c r="E36" s="25" t="n">
        <v>170</v>
      </c>
      <c r="F36" s="25" t="n">
        <v>180</v>
      </c>
    </row>
    <row r="37">
      <c r="A37" s="3" t="inlineStr">
        <is>
          <t>Tradeand Other Payables Non Current</t>
        </is>
      </c>
      <c r="B37" s="25" t="n">
        <v>73</v>
      </c>
      <c r="C37" s="25" t="n">
        <v>59</v>
      </c>
      <c r="D37" s="25" t="n">
        <v>68</v>
      </c>
    </row>
    <row r="38">
      <c r="A38" s="3" t="inlineStr">
        <is>
          <t>Non Current Deferred Liabilities</t>
        </is>
      </c>
      <c r="C38" s="25" t="n">
        <v>365</v>
      </c>
      <c r="D38" s="25" t="n">
        <v>400</v>
      </c>
      <c r="E38" s="25" t="n">
        <v>379</v>
      </c>
      <c r="F38" s="25" t="n">
        <v>988</v>
      </c>
    </row>
    <row r="39">
      <c r="A39" s="3" t="inlineStr">
        <is>
          <t>Non Current Deferred Taxes Liabilities</t>
        </is>
      </c>
      <c r="C39" s="25" t="n">
        <v>365</v>
      </c>
      <c r="D39" s="25" t="n">
        <v>400</v>
      </c>
      <c r="E39" s="25" t="n">
        <v>379</v>
      </c>
      <c r="F39" s="25" t="n">
        <v>988</v>
      </c>
    </row>
    <row r="40">
      <c r="A40" s="3" t="inlineStr">
        <is>
          <t>Long Term Debt And Capital Lease Obligation</t>
        </is>
      </c>
      <c r="C40" s="25" t="n">
        <v>3806</v>
      </c>
      <c r="D40" s="25" t="n">
        <v>4646</v>
      </c>
      <c r="E40" s="25" t="n">
        <v>5289</v>
      </c>
      <c r="F40" s="25" t="n">
        <v>9928</v>
      </c>
    </row>
    <row r="41">
      <c r="A41" s="3" t="inlineStr">
        <is>
          <t>Long Term Capital Lease Obligation</t>
        </is>
      </c>
      <c r="C41" s="25" t="n">
        <v>547</v>
      </c>
      <c r="D41" s="25" t="n">
        <v>566</v>
      </c>
      <c r="E41" s="25" t="n">
        <v>595</v>
      </c>
      <c r="F41" s="25" t="n">
        <v>1097</v>
      </c>
    </row>
    <row r="42">
      <c r="A42" s="3" t="inlineStr">
        <is>
          <t>Long Term Debt</t>
        </is>
      </c>
      <c r="C42" s="25" t="n">
        <v>3259</v>
      </c>
      <c r="D42" s="25" t="n">
        <v>4080</v>
      </c>
      <c r="E42" s="25" t="n">
        <v>4694</v>
      </c>
      <c r="F42" s="25" t="n">
        <v>8831</v>
      </c>
    </row>
    <row r="43">
      <c r="A43" s="3" t="inlineStr">
        <is>
          <t>Long Term Provisions</t>
        </is>
      </c>
      <c r="C43" s="25" t="n">
        <v>205</v>
      </c>
      <c r="D43" s="25" t="n">
        <v>218</v>
      </c>
      <c r="E43" s="25" t="n">
        <v>281</v>
      </c>
      <c r="F43" s="25" t="n">
        <v>551</v>
      </c>
    </row>
    <row r="44">
      <c r="A44" s="3" t="inlineStr">
        <is>
          <t>Current Liabilities</t>
        </is>
      </c>
      <c r="C44" s="25" t="n">
        <v>9600</v>
      </c>
      <c r="D44" s="25" t="n">
        <v>7687</v>
      </c>
      <c r="E44" s="25" t="n">
        <v>7435</v>
      </c>
      <c r="F44" s="25" t="n">
        <v>15127</v>
      </c>
    </row>
    <row r="45">
      <c r="A45" s="3" t="inlineStr">
        <is>
          <t>Other Current Liabilities</t>
        </is>
      </c>
      <c r="C45" s="25" t="n">
        <v>1885</v>
      </c>
      <c r="D45" s="25" t="n">
        <v>1251</v>
      </c>
      <c r="E45" s="25" t="n">
        <v>1316</v>
      </c>
      <c r="F45" s="25" t="n">
        <v>1877</v>
      </c>
    </row>
    <row r="46">
      <c r="A46" s="3" t="inlineStr">
        <is>
          <t>Current Deferred Liabilities</t>
        </is>
      </c>
      <c r="C46" s="25" t="n">
        <v>601</v>
      </c>
      <c r="D46" s="25" t="n">
        <v>463</v>
      </c>
      <c r="E46" s="25" t="n">
        <v>501</v>
      </c>
      <c r="F46" s="25" t="n">
        <v>814</v>
      </c>
    </row>
    <row r="47">
      <c r="A47" s="3" t="inlineStr">
        <is>
          <t>Current Deferred Revenue</t>
        </is>
      </c>
      <c r="C47" s="25" t="n">
        <v>601</v>
      </c>
      <c r="D47" s="25" t="n">
        <v>463</v>
      </c>
      <c r="E47" s="25" t="n">
        <v>501</v>
      </c>
      <c r="F47" s="25" t="n">
        <v>814</v>
      </c>
    </row>
    <row r="48">
      <c r="A48" s="3" t="inlineStr">
        <is>
          <t>Current Debt And Capital Lease Obligation</t>
        </is>
      </c>
      <c r="C48" s="25" t="n">
        <v>1817</v>
      </c>
      <c r="D48" s="25" t="n">
        <v>1110</v>
      </c>
      <c r="E48" s="25" t="n">
        <v>1830</v>
      </c>
      <c r="F48" s="25" t="n">
        <v>5927</v>
      </c>
    </row>
    <row r="49">
      <c r="A49" s="3" t="inlineStr">
        <is>
          <t>Current Capital Lease Obligation</t>
        </is>
      </c>
      <c r="C49" s="25" t="n">
        <v>425</v>
      </c>
      <c r="D49" s="25" t="n">
        <v>308</v>
      </c>
      <c r="E49" s="25" t="n">
        <v>286</v>
      </c>
      <c r="F49" s="25" t="n">
        <v>499</v>
      </c>
    </row>
    <row r="50">
      <c r="A50" s="3" t="inlineStr">
        <is>
          <t>Current Debt</t>
        </is>
      </c>
      <c r="C50" s="25" t="n">
        <v>1392</v>
      </c>
      <c r="D50" s="25" t="n">
        <v>802</v>
      </c>
      <c r="E50" s="25" t="n">
        <v>1544</v>
      </c>
      <c r="F50" s="25" t="n">
        <v>5428</v>
      </c>
    </row>
    <row r="51">
      <c r="A51" s="3" t="inlineStr">
        <is>
          <t>Other Current Borrowings</t>
        </is>
      </c>
      <c r="C51" s="25" t="n">
        <v>846</v>
      </c>
      <c r="D51" s="25" t="n">
        <v>5</v>
      </c>
      <c r="E51" s="25" t="n">
        <v>669</v>
      </c>
      <c r="F51" s="25" t="n">
        <v>1337</v>
      </c>
    </row>
    <row r="52">
      <c r="A52" s="3" t="inlineStr">
        <is>
          <t>Line Of Credit</t>
        </is>
      </c>
      <c r="C52" s="25" t="n">
        <v>546</v>
      </c>
      <c r="D52" s="25" t="n">
        <v>797</v>
      </c>
      <c r="E52" s="25" t="n">
        <v>875</v>
      </c>
      <c r="F52" s="25" t="n">
        <v>4091</v>
      </c>
    </row>
    <row r="53">
      <c r="A53" s="3" t="inlineStr">
        <is>
          <t>Payables And Accrued Expenses</t>
        </is>
      </c>
      <c r="C53" s="25" t="n">
        <v>5297</v>
      </c>
      <c r="D53" s="25" t="n">
        <v>4863</v>
      </c>
      <c r="E53" s="25" t="n">
        <v>3788</v>
      </c>
      <c r="F53" s="25" t="n">
        <v>6509</v>
      </c>
    </row>
    <row r="54">
      <c r="A54" s="3" t="inlineStr">
        <is>
          <t>Current Accrued Expenses</t>
        </is>
      </c>
      <c r="C54" s="25" t="n">
        <v>755</v>
      </c>
      <c r="D54" s="25" t="n">
        <v>865</v>
      </c>
      <c r="E54" s="25" t="n">
        <v>840</v>
      </c>
      <c r="F54" s="25" t="n">
        <v>1390</v>
      </c>
    </row>
    <row r="55">
      <c r="A55" s="3" t="inlineStr">
        <is>
          <t>Payables</t>
        </is>
      </c>
      <c r="C55" s="25" t="n">
        <v>4542</v>
      </c>
      <c r="D55" s="25" t="n">
        <v>3998</v>
      </c>
      <c r="E55" s="25" t="n">
        <v>2948</v>
      </c>
      <c r="F55" s="25" t="n">
        <v>5119</v>
      </c>
    </row>
    <row r="56">
      <c r="A56" s="3" t="inlineStr">
        <is>
          <t>Dividends Payable</t>
        </is>
      </c>
      <c r="D56" s="25" t="n">
        <v>96</v>
      </c>
      <c r="E56" s="25" t="n">
        <v>91</v>
      </c>
      <c r="F56" s="25" t="n">
        <v>135</v>
      </c>
    </row>
    <row r="57">
      <c r="A57" s="3" t="inlineStr">
        <is>
          <t>Total Tax Payable</t>
        </is>
      </c>
      <c r="C57" s="25" t="n">
        <v>156</v>
      </c>
      <c r="D57" s="25" t="n">
        <v>238</v>
      </c>
      <c r="E57" s="25" t="n">
        <v>80</v>
      </c>
      <c r="F57" s="25" t="n">
        <v>103</v>
      </c>
    </row>
    <row r="58">
      <c r="A58" s="3" t="inlineStr">
        <is>
          <t>Income Tax Payable</t>
        </is>
      </c>
      <c r="C58" s="25" t="n">
        <v>156</v>
      </c>
      <c r="D58" s="25" t="n">
        <v>238</v>
      </c>
      <c r="E58" s="25" t="n">
        <v>80</v>
      </c>
      <c r="F58" s="25" t="n">
        <v>103</v>
      </c>
    </row>
    <row r="59">
      <c r="A59" s="3" t="inlineStr">
        <is>
          <t>Accounts Payable</t>
        </is>
      </c>
      <c r="C59" s="25" t="n">
        <v>4386</v>
      </c>
      <c r="D59" s="25" t="n">
        <v>3664</v>
      </c>
      <c r="E59" s="25" t="n">
        <v>2777</v>
      </c>
      <c r="F59" s="25" t="n">
        <v>4881</v>
      </c>
    </row>
    <row r="60">
      <c r="A60" s="3" t="inlineStr">
        <is>
          <t>Total Assets</t>
        </is>
      </c>
      <c r="C60" s="25" t="n">
        <v>24580</v>
      </c>
      <c r="D60" s="25" t="n">
        <v>25372</v>
      </c>
      <c r="E60" s="25" t="n">
        <v>24899</v>
      </c>
      <c r="F60" s="25" t="n">
        <v>44528</v>
      </c>
    </row>
    <row r="61">
      <c r="A61" s="3" t="inlineStr">
        <is>
          <t>Total Non Current Assets</t>
        </is>
      </c>
      <c r="C61" s="25" t="n">
        <v>7822</v>
      </c>
      <c r="D61" s="25" t="n">
        <v>9022</v>
      </c>
      <c r="E61" s="25" t="n">
        <v>8941</v>
      </c>
      <c r="F61" s="25" t="n">
        <v>20137</v>
      </c>
    </row>
    <row r="62">
      <c r="A62" s="3" t="inlineStr">
        <is>
          <t>Other Non Current Assets</t>
        </is>
      </c>
      <c r="C62" s="25" t="n">
        <v>205</v>
      </c>
      <c r="D62" s="25" t="n">
        <v>244</v>
      </c>
      <c r="E62" s="25" t="n">
        <v>194</v>
      </c>
      <c r="F62" s="25" t="n">
        <v>395</v>
      </c>
    </row>
    <row r="63">
      <c r="A63" s="3" t="inlineStr">
        <is>
          <t>Non Current Deferred Assets</t>
        </is>
      </c>
      <c r="C63" s="25" t="n">
        <v>712</v>
      </c>
      <c r="D63" s="25" t="n">
        <v>773</v>
      </c>
      <c r="E63" s="25" t="n">
        <v>645</v>
      </c>
      <c r="F63" s="25" t="n">
        <v>890</v>
      </c>
    </row>
    <row r="64">
      <c r="A64" s="3" t="inlineStr">
        <is>
          <t>Non Current Deferred Taxes Assets</t>
        </is>
      </c>
      <c r="C64" s="25" t="n">
        <v>712</v>
      </c>
      <c r="D64" s="25" t="n">
        <v>773</v>
      </c>
      <c r="E64" s="25" t="n">
        <v>645</v>
      </c>
      <c r="F64" s="25" t="n">
        <v>890</v>
      </c>
    </row>
    <row r="65">
      <c r="A65" s="3" t="inlineStr">
        <is>
          <t>Non Current Note Receivables</t>
        </is>
      </c>
      <c r="C65" s="25" t="n">
        <v>8</v>
      </c>
      <c r="D65" s="25" t="n">
        <v>8</v>
      </c>
      <c r="E65" s="25" t="n">
        <v>8</v>
      </c>
      <c r="F65" s="25" t="n">
        <v>12</v>
      </c>
    </row>
    <row r="66">
      <c r="A66" s="3" t="inlineStr">
        <is>
          <t>Non Current Accounts Receivable</t>
        </is>
      </c>
      <c r="C66" s="25" t="n">
        <v>250</v>
      </c>
      <c r="D66" s="25" t="n">
        <v>220</v>
      </c>
      <c r="E66" s="25" t="n">
        <v>181</v>
      </c>
      <c r="F66" s="25" t="n">
        <v>387</v>
      </c>
    </row>
    <row r="67">
      <c r="A67" s="3" t="inlineStr">
        <is>
          <t>Financial Assets</t>
        </is>
      </c>
      <c r="C67" s="25" t="n">
        <v>1</v>
      </c>
      <c r="D67" s="25" t="n">
        <v>1</v>
      </c>
      <c r="E67" s="25" t="n">
        <v>0</v>
      </c>
      <c r="F67" s="25" t="n">
        <v>8</v>
      </c>
    </row>
    <row r="68">
      <c r="A68" s="3" t="inlineStr">
        <is>
          <t>Investments And Advances</t>
        </is>
      </c>
      <c r="C68" s="25" t="n">
        <v>1175</v>
      </c>
      <c r="D68" s="25" t="n">
        <v>1422</v>
      </c>
      <c r="E68" s="25" t="n">
        <v>953</v>
      </c>
      <c r="F68" s="25" t="n">
        <v>1631</v>
      </c>
    </row>
    <row r="69">
      <c r="A69" s="3" t="inlineStr">
        <is>
          <t>Other Investments</t>
        </is>
      </c>
      <c r="C69" s="25" t="n">
        <v>163</v>
      </c>
      <c r="D69" s="25" t="n">
        <v>142</v>
      </c>
      <c r="E69" s="25" t="n">
        <v>174</v>
      </c>
      <c r="F69" s="25" t="n">
        <v>136</v>
      </c>
    </row>
    <row r="70">
      <c r="A70" s="3" t="inlineStr">
        <is>
          <t>Long Term Equity Investment</t>
        </is>
      </c>
      <c r="C70" s="25" t="n">
        <v>1012</v>
      </c>
      <c r="D70" s="25" t="n">
        <v>1280</v>
      </c>
      <c r="E70" s="25" t="n">
        <v>779</v>
      </c>
      <c r="F70" s="25" t="n">
        <v>1495</v>
      </c>
    </row>
    <row r="71">
      <c r="A71" s="3" t="inlineStr">
        <is>
          <t>Investments In Other Ventures Under Equity Method</t>
        </is>
      </c>
      <c r="B71" s="25" t="n">
        <v>764</v>
      </c>
      <c r="C71" s="25" t="n">
        <v>1012</v>
      </c>
      <c r="D71" s="25" t="n">
        <v>1280</v>
      </c>
    </row>
    <row r="72">
      <c r="A72" s="3" t="inlineStr">
        <is>
          <t>Investmentsin Associatesat Cost</t>
        </is>
      </c>
      <c r="B72" s="25" t="n">
        <v>764</v>
      </c>
      <c r="C72" s="25" t="n">
        <v>1012</v>
      </c>
    </row>
    <row r="73">
      <c r="A73" s="3" t="inlineStr">
        <is>
          <t>Goodwill And Other Intangible Assets</t>
        </is>
      </c>
      <c r="C73" s="25" t="n">
        <v>830</v>
      </c>
      <c r="D73" s="25" t="n">
        <v>887</v>
      </c>
      <c r="E73" s="25" t="n">
        <v>774</v>
      </c>
      <c r="F73" s="25" t="n">
        <v>3450</v>
      </c>
    </row>
    <row r="74">
      <c r="A74" s="3" t="inlineStr">
        <is>
          <t>Other Intangible Assets</t>
        </is>
      </c>
      <c r="C74" s="25" t="n">
        <v>360</v>
      </c>
      <c r="D74" s="25" t="n">
        <v>398</v>
      </c>
      <c r="E74" s="25" t="n">
        <v>321</v>
      </c>
      <c r="F74" s="25" t="n">
        <v>309</v>
      </c>
    </row>
    <row r="75">
      <c r="A75" s="3" t="inlineStr">
        <is>
          <t>Goodwill</t>
        </is>
      </c>
      <c r="C75" s="25" t="n">
        <v>470</v>
      </c>
      <c r="D75" s="25" t="n">
        <v>489</v>
      </c>
      <c r="E75" s="25" t="n">
        <v>453</v>
      </c>
      <c r="F75" s="25" t="n">
        <v>3141</v>
      </c>
    </row>
    <row r="76">
      <c r="A76" s="3" t="inlineStr">
        <is>
          <t>Net PPE</t>
        </is>
      </c>
      <c r="C76" s="25" t="n">
        <v>4641</v>
      </c>
      <c r="D76" s="25" t="n">
        <v>5467</v>
      </c>
      <c r="E76" s="25" t="n">
        <v>6186</v>
      </c>
      <c r="F76" s="25" t="n">
        <v>13364</v>
      </c>
    </row>
    <row r="77">
      <c r="A77" s="3" t="inlineStr">
        <is>
          <t>Accumulated Depreciation</t>
        </is>
      </c>
      <c r="C77" s="25" t="n">
        <v>-4219</v>
      </c>
      <c r="D77" s="25" t="n">
        <v>-4686</v>
      </c>
      <c r="E77" s="25" t="n">
        <v>-4777</v>
      </c>
      <c r="F77" s="25" t="n">
        <v>-5316</v>
      </c>
    </row>
    <row r="78">
      <c r="A78" s="3" t="inlineStr">
        <is>
          <t>Gross PPE</t>
        </is>
      </c>
      <c r="C78" s="25" t="n">
        <v>8860</v>
      </c>
      <c r="D78" s="25" t="n">
        <v>10153</v>
      </c>
      <c r="E78" s="25" t="n">
        <v>10963</v>
      </c>
      <c r="F78" s="25" t="n">
        <v>18680</v>
      </c>
    </row>
    <row r="79">
      <c r="A79" s="3" t="inlineStr">
        <is>
          <t>Construction In Progress</t>
        </is>
      </c>
      <c r="C79" s="25" t="n">
        <v>583</v>
      </c>
      <c r="D79" s="25" t="n">
        <v>1017</v>
      </c>
      <c r="E79" s="25" t="n">
        <v>1533</v>
      </c>
      <c r="F79" s="25" t="n">
        <v>2074</v>
      </c>
    </row>
    <row r="80">
      <c r="A80" s="3" t="inlineStr">
        <is>
          <t>Other Properties</t>
        </is>
      </c>
      <c r="C80" s="25" t="n">
        <v>1024</v>
      </c>
      <c r="D80" s="25" t="n">
        <v>926</v>
      </c>
      <c r="E80" s="25" t="n">
        <v>932</v>
      </c>
      <c r="F80" s="25" t="n">
        <v>1686</v>
      </c>
    </row>
    <row r="81">
      <c r="A81" s="3" t="inlineStr">
        <is>
          <t>Machinery Furniture Equipment</t>
        </is>
      </c>
      <c r="C81" s="25" t="n">
        <v>5159</v>
      </c>
      <c r="D81" s="25" t="n">
        <v>5902</v>
      </c>
      <c r="E81" s="25" t="n">
        <v>6140</v>
      </c>
      <c r="F81" s="25" t="n">
        <v>9254</v>
      </c>
    </row>
    <row r="82">
      <c r="A82" s="3" t="inlineStr">
        <is>
          <t>Buildings And Improvements</t>
        </is>
      </c>
      <c r="C82" s="25" t="n">
        <v>1752</v>
      </c>
      <c r="D82" s="25" t="n">
        <v>1909</v>
      </c>
      <c r="E82" s="25" t="n">
        <v>1970</v>
      </c>
      <c r="F82" s="25" t="n">
        <v>4953</v>
      </c>
    </row>
    <row r="83">
      <c r="A83" s="3" t="inlineStr">
        <is>
          <t>Land And Improvements</t>
        </is>
      </c>
      <c r="C83" s="25" t="n">
        <v>342</v>
      </c>
      <c r="D83" s="25" t="n">
        <v>399</v>
      </c>
      <c r="E83" s="25" t="n">
        <v>388</v>
      </c>
      <c r="F83" s="25" t="n">
        <v>713</v>
      </c>
    </row>
    <row r="84">
      <c r="A84" s="3" t="inlineStr">
        <is>
          <t>Properties</t>
        </is>
      </c>
      <c r="C84" s="25" t="n">
        <v>0</v>
      </c>
      <c r="D84" s="25" t="n">
        <v>0</v>
      </c>
      <c r="E84" s="25" t="n">
        <v>0</v>
      </c>
      <c r="F84" s="25" t="n">
        <v>0</v>
      </c>
    </row>
    <row r="85">
      <c r="A85" s="3" t="inlineStr">
        <is>
          <t>Current Assets</t>
        </is>
      </c>
      <c r="C85" s="25" t="n">
        <v>16758</v>
      </c>
      <c r="D85" s="25" t="n">
        <v>16350</v>
      </c>
      <c r="E85" s="25" t="n">
        <v>15958</v>
      </c>
      <c r="F85" s="25" t="n">
        <v>24391</v>
      </c>
    </row>
    <row r="86">
      <c r="A86" s="3" t="inlineStr">
        <is>
          <t>Other Current Assets</t>
        </is>
      </c>
      <c r="C86" s="25" t="n">
        <v>386</v>
      </c>
      <c r="D86" s="25" t="n">
        <v>266</v>
      </c>
      <c r="E86" s="25" t="n">
        <v>426</v>
      </c>
      <c r="F86" s="25" t="n">
        <v>482</v>
      </c>
    </row>
    <row r="87">
      <c r="A87" s="3" t="inlineStr">
        <is>
          <t>Hedging Assets Current</t>
        </is>
      </c>
      <c r="C87" s="25" t="n">
        <v>1597</v>
      </c>
      <c r="D87" s="25" t="n">
        <v>1481</v>
      </c>
      <c r="E87" s="25" t="n">
        <v>1286</v>
      </c>
      <c r="F87" s="25" t="n">
        <v>1534</v>
      </c>
    </row>
    <row r="88">
      <c r="A88" s="3" t="inlineStr">
        <is>
          <t>Assets Held For Sale Current</t>
        </is>
      </c>
      <c r="C88" s="25" t="n">
        <v>36</v>
      </c>
      <c r="D88" s="25" t="n">
        <v>1</v>
      </c>
      <c r="E88" s="25" t="n">
        <v>8</v>
      </c>
      <c r="F88" s="25" t="n">
        <v>191</v>
      </c>
    </row>
    <row r="89">
      <c r="A89" s="3" t="inlineStr">
        <is>
          <t>Current Deferred Assets</t>
        </is>
      </c>
      <c r="B89" s="25" t="n">
        <v>496</v>
      </c>
      <c r="C89" s="25" t="n">
        <v>0</v>
      </c>
    </row>
    <row r="90">
      <c r="A90" s="3" t="inlineStr">
        <is>
          <t>Restricted Cash</t>
        </is>
      </c>
      <c r="C90" s="25" t="n">
        <v>817</v>
      </c>
      <c r="D90" s="25" t="n">
        <v>639</v>
      </c>
      <c r="E90" s="25" t="n">
        <v>596</v>
      </c>
      <c r="F90" s="25" t="n">
        <v>881</v>
      </c>
    </row>
    <row r="91">
      <c r="A91" s="3" t="inlineStr">
        <is>
          <t>Prepaid Assets</t>
        </is>
      </c>
      <c r="C91" s="25" t="n">
        <v>995</v>
      </c>
      <c r="D91" s="25" t="n">
        <v>1128</v>
      </c>
      <c r="E91" s="25" t="n">
        <v>619</v>
      </c>
      <c r="F91" s="25" t="n">
        <v>1081</v>
      </c>
    </row>
    <row r="92">
      <c r="A92" s="3" t="inlineStr">
        <is>
          <t>Inventory</t>
        </is>
      </c>
      <c r="C92" s="25" t="n">
        <v>8408</v>
      </c>
      <c r="D92" s="25" t="n">
        <v>7105</v>
      </c>
      <c r="E92" s="25" t="n">
        <v>6491</v>
      </c>
      <c r="F92" s="25" t="n">
        <v>13198</v>
      </c>
    </row>
    <row r="93">
      <c r="A93" s="3" t="inlineStr">
        <is>
          <t>Other Inventories</t>
        </is>
      </c>
      <c r="B93" s="25" t="n">
        <v>2</v>
      </c>
      <c r="C93" s="25" t="n">
        <v>4</v>
      </c>
      <c r="D93" s="25" t="n">
        <v>4</v>
      </c>
      <c r="E93" s="25" t="n">
        <v>4</v>
      </c>
    </row>
    <row r="94">
      <c r="A94" s="3" t="inlineStr">
        <is>
          <t>Finished Goods</t>
        </is>
      </c>
      <c r="C94" s="25" t="n">
        <v>8404</v>
      </c>
      <c r="D94" s="25" t="n">
        <v>7101</v>
      </c>
      <c r="E94" s="25" t="n">
        <v>6491</v>
      </c>
      <c r="F94" s="25" t="n">
        <v>13198</v>
      </c>
    </row>
    <row r="95">
      <c r="A95" s="3" t="inlineStr">
        <is>
          <t>Receivables</t>
        </is>
      </c>
      <c r="C95" s="25" t="n">
        <v>3296</v>
      </c>
      <c r="D95" s="25" t="n">
        <v>3024</v>
      </c>
      <c r="E95" s="25" t="n">
        <v>2737</v>
      </c>
      <c r="F95" s="25" t="n">
        <v>4820</v>
      </c>
    </row>
    <row r="96">
      <c r="A96" s="3" t="inlineStr">
        <is>
          <t>Other Receivables</t>
        </is>
      </c>
      <c r="E96" s="25" t="n">
        <v>152</v>
      </c>
      <c r="F96" s="25" t="n">
        <v>80</v>
      </c>
    </row>
    <row r="97">
      <c r="A97" s="3" t="inlineStr">
        <is>
          <t>Taxes Receivable</t>
        </is>
      </c>
      <c r="C97" s="25" t="n">
        <v>467</v>
      </c>
      <c r="D97" s="25" t="n">
        <v>432</v>
      </c>
      <c r="E97" s="25" t="n">
        <v>437</v>
      </c>
      <c r="F97" s="25" t="n">
        <v>870</v>
      </c>
    </row>
    <row r="98">
      <c r="A98" s="3" t="inlineStr">
        <is>
          <t>Accounts Receivable</t>
        </is>
      </c>
      <c r="C98" s="25" t="n">
        <v>2829</v>
      </c>
      <c r="D98" s="25" t="n">
        <v>2592</v>
      </c>
      <c r="E98" s="25" t="n">
        <v>2148</v>
      </c>
      <c r="F98" s="25" t="n">
        <v>3870</v>
      </c>
    </row>
    <row r="99">
      <c r="A99" s="3" t="inlineStr">
        <is>
          <t>Allowance For Doubtful Accounts Receivable</t>
        </is>
      </c>
      <c r="C99" s="25" t="n">
        <v>-90</v>
      </c>
      <c r="D99" s="25" t="n">
        <v>-104</v>
      </c>
      <c r="E99" s="25" t="n">
        <v>-89</v>
      </c>
      <c r="F99" s="25" t="n">
        <v>-156</v>
      </c>
    </row>
    <row r="100">
      <c r="A100" s="3" t="inlineStr">
        <is>
          <t>Gross Accounts Receivable</t>
        </is>
      </c>
      <c r="C100" s="25" t="n">
        <v>2919</v>
      </c>
      <c r="D100" s="25" t="n">
        <v>2696</v>
      </c>
      <c r="E100" s="25" t="n">
        <v>2237</v>
      </c>
      <c r="F100" s="25" t="n">
        <v>4026</v>
      </c>
    </row>
    <row r="101">
      <c r="A101" s="3" t="inlineStr">
        <is>
          <t>Cash Cash Equivalents And Short Term Investments</t>
        </is>
      </c>
      <c r="C101" s="25" t="n">
        <v>1223</v>
      </c>
      <c r="D101" s="25" t="n">
        <v>2707</v>
      </c>
      <c r="E101" s="25" t="n">
        <v>3795</v>
      </c>
      <c r="F101" s="25" t="n">
        <v>2204</v>
      </c>
    </row>
    <row r="102">
      <c r="A102" s="3" t="inlineStr">
        <is>
          <t>Other Short Term Investments</t>
        </is>
      </c>
      <c r="C102" s="25" t="n">
        <v>119</v>
      </c>
      <c r="D102" s="25" t="n">
        <v>105</v>
      </c>
      <c r="E102" s="25" t="n">
        <v>484</v>
      </c>
      <c r="F102" s="25" t="n">
        <v>1069</v>
      </c>
    </row>
    <row r="103">
      <c r="A103" s="3" t="inlineStr">
        <is>
          <t>Cash And Cash Equivalents</t>
        </is>
      </c>
      <c r="C103" s="25" t="n">
        <v>1104</v>
      </c>
      <c r="D103" s="25" t="n">
        <v>2602</v>
      </c>
      <c r="E103" s="25" t="n">
        <v>3311</v>
      </c>
      <c r="F103" s="25" t="n">
        <v>1135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BG — CF (reported)</t>
        </is>
      </c>
    </row>
    <row r="2">
      <c r="A2" s="2" t="inlineStr">
        <is>
          <t>As reported by yfinance (USDmm). Hardcoded actuals.</t>
        </is>
      </c>
    </row>
    <row r="4">
      <c r="A4" s="9" t="inlineStr">
        <is>
          <t>Line item</t>
        </is>
      </c>
      <c r="B4" s="10" t="inlineStr">
        <is>
          <t>FY2021</t>
        </is>
      </c>
      <c r="C4" s="10" t="inlineStr">
        <is>
          <t>FY2022</t>
        </is>
      </c>
      <c r="D4" s="10" t="inlineStr">
        <is>
          <t>FY2023</t>
        </is>
      </c>
      <c r="E4" s="10" t="inlineStr">
        <is>
          <t>FY2024</t>
        </is>
      </c>
      <c r="F4" s="10" t="inlineStr">
        <is>
          <t>FY2025</t>
        </is>
      </c>
    </row>
    <row r="5">
      <c r="A5" s="3" t="inlineStr">
        <is>
          <t>Free Cash Flow</t>
        </is>
      </c>
      <c r="C5" s="25" t="n">
        <v>-6104</v>
      </c>
      <c r="D5" s="25" t="n">
        <v>2186</v>
      </c>
      <c r="E5" s="25" t="n">
        <v>524</v>
      </c>
      <c r="F5" s="25" t="n">
        <v>-879</v>
      </c>
    </row>
    <row r="6">
      <c r="A6" s="3" t="inlineStr">
        <is>
          <t>Repurchase Of Capital Stock</t>
        </is>
      </c>
      <c r="C6" s="25" t="n">
        <v>-200</v>
      </c>
      <c r="D6" s="25" t="n">
        <v>-600</v>
      </c>
      <c r="E6" s="25" t="n">
        <v>-1100</v>
      </c>
      <c r="F6" s="25" t="n">
        <v>-551</v>
      </c>
    </row>
    <row r="7">
      <c r="A7" s="3" t="inlineStr">
        <is>
          <t>Repayment Of Debt</t>
        </is>
      </c>
      <c r="C7" s="25" t="n">
        <v>-2885</v>
      </c>
      <c r="D7" s="25" t="n">
        <v>-2163</v>
      </c>
      <c r="E7" s="25" t="n">
        <v>-1830</v>
      </c>
      <c r="F7" s="25" t="n">
        <v>-3697</v>
      </c>
    </row>
    <row r="8">
      <c r="A8" s="3" t="inlineStr">
        <is>
          <t>Issuance Of Debt</t>
        </is>
      </c>
      <c r="C8" s="25" t="n">
        <v>2180</v>
      </c>
      <c r="D8" s="25" t="n">
        <v>2393</v>
      </c>
      <c r="E8" s="25" t="n">
        <v>3246</v>
      </c>
      <c r="F8" s="25" t="n">
        <v>6792</v>
      </c>
    </row>
    <row r="9">
      <c r="A9" s="3" t="inlineStr">
        <is>
          <t>Capital Expenditure</t>
        </is>
      </c>
      <c r="C9" s="25" t="n">
        <v>-555</v>
      </c>
      <c r="D9" s="25" t="n">
        <v>-1122</v>
      </c>
      <c r="E9" s="25" t="n">
        <v>-1376</v>
      </c>
      <c r="F9" s="25" t="n">
        <v>-1723</v>
      </c>
    </row>
    <row r="10">
      <c r="A10" s="3" t="inlineStr">
        <is>
          <t>End Cash Position</t>
        </is>
      </c>
      <c r="C10" s="25" t="n">
        <v>1152</v>
      </c>
      <c r="D10" s="25" t="n">
        <v>2623</v>
      </c>
      <c r="E10" s="25" t="n">
        <v>3328</v>
      </c>
      <c r="F10" s="25" t="n">
        <v>1166</v>
      </c>
    </row>
    <row r="11">
      <c r="A11" s="3" t="inlineStr">
        <is>
          <t>Beginning Cash Position</t>
        </is>
      </c>
      <c r="C11" s="25" t="n">
        <v>905</v>
      </c>
      <c r="D11" s="25" t="n">
        <v>1152</v>
      </c>
      <c r="E11" s="25" t="n">
        <v>2623</v>
      </c>
      <c r="F11" s="25" t="n">
        <v>3328</v>
      </c>
    </row>
    <row r="12">
      <c r="A12" s="3" t="inlineStr">
        <is>
          <t>Effect Of Exchange Rate Changes</t>
        </is>
      </c>
      <c r="C12" s="25" t="n">
        <v>66</v>
      </c>
      <c r="D12" s="25" t="n">
        <v>28</v>
      </c>
      <c r="E12" s="25" t="n">
        <v>9</v>
      </c>
      <c r="F12" s="25" t="n">
        <v>-8</v>
      </c>
    </row>
    <row r="13">
      <c r="A13" s="3" t="inlineStr">
        <is>
          <t>Changes In Cash</t>
        </is>
      </c>
      <c r="C13" s="25" t="n">
        <v>181</v>
      </c>
      <c r="D13" s="25" t="n">
        <v>1443</v>
      </c>
      <c r="E13" s="25" t="n">
        <v>696</v>
      </c>
      <c r="F13" s="25" t="n">
        <v>-2154</v>
      </c>
    </row>
    <row r="14">
      <c r="A14" s="3" t="inlineStr">
        <is>
          <t>Financing Cash Flow</t>
        </is>
      </c>
      <c r="C14" s="25" t="n">
        <v>-769</v>
      </c>
      <c r="D14" s="25" t="n">
        <v>-856</v>
      </c>
      <c r="E14" s="25" t="n">
        <v>-90</v>
      </c>
      <c r="F14" s="25" t="n">
        <v>2229</v>
      </c>
    </row>
    <row r="15">
      <c r="A15" s="3" t="inlineStr">
        <is>
          <t>Cash Flow From Continuing Financing Activities</t>
        </is>
      </c>
      <c r="C15" s="25" t="n">
        <v>-769</v>
      </c>
      <c r="D15" s="25" t="n">
        <v>-856</v>
      </c>
      <c r="E15" s="25" t="n">
        <v>-90</v>
      </c>
      <c r="F15" s="25" t="n">
        <v>2229</v>
      </c>
    </row>
    <row r="16">
      <c r="A16" s="3" t="inlineStr">
        <is>
          <t>Net Other Financing Charges</t>
        </is>
      </c>
      <c r="C16" s="25" t="n">
        <v>393</v>
      </c>
      <c r="D16" s="25" t="n">
        <v>-103</v>
      </c>
      <c r="E16" s="25" t="n">
        <v>-28</v>
      </c>
      <c r="F16" s="25" t="n">
        <v>144</v>
      </c>
    </row>
    <row r="17">
      <c r="A17" s="3" t="inlineStr">
        <is>
          <t>Proceeds From Stock Option Exercised</t>
        </is>
      </c>
      <c r="B17" s="25" t="n">
        <v>116</v>
      </c>
      <c r="C17" s="25" t="n">
        <v>92</v>
      </c>
      <c r="D17" s="25" t="n">
        <v>9</v>
      </c>
      <c r="E17" s="25" t="n">
        <v>11</v>
      </c>
    </row>
    <row r="18">
      <c r="A18" s="3" t="inlineStr">
        <is>
          <t>Cash Dividends Paid</t>
        </is>
      </c>
      <c r="C18" s="25" t="n">
        <v>-349</v>
      </c>
      <c r="D18" s="25" t="n">
        <v>-383</v>
      </c>
      <c r="E18" s="25" t="n">
        <v>-378</v>
      </c>
      <c r="F18" s="25" t="n">
        <v>-459</v>
      </c>
    </row>
    <row r="19">
      <c r="A19" s="3" t="inlineStr">
        <is>
          <t>Preferred Stock Dividend Paid</t>
        </is>
      </c>
      <c r="B19" s="25" t="n">
        <v>-34</v>
      </c>
      <c r="C19" s="25" t="n">
        <v>-8</v>
      </c>
      <c r="D19" s="25" t="n">
        <v>0</v>
      </c>
    </row>
    <row r="20">
      <c r="A20" s="3" t="inlineStr">
        <is>
          <t>Common Stock Dividend Paid</t>
        </is>
      </c>
      <c r="C20" s="25" t="n">
        <v>-349</v>
      </c>
      <c r="D20" s="25" t="n">
        <v>-383</v>
      </c>
      <c r="E20" s="25" t="n">
        <v>-378</v>
      </c>
      <c r="F20" s="25" t="n">
        <v>-459</v>
      </c>
    </row>
    <row r="21">
      <c r="A21" s="3" t="inlineStr">
        <is>
          <t>Net Common Stock Issuance</t>
        </is>
      </c>
      <c r="C21" s="25" t="n">
        <v>-200</v>
      </c>
      <c r="D21" s="25" t="n">
        <v>-600</v>
      </c>
      <c r="E21" s="25" t="n">
        <v>-1100</v>
      </c>
      <c r="F21" s="25" t="n">
        <v>-551</v>
      </c>
    </row>
    <row r="22">
      <c r="A22" s="3" t="inlineStr">
        <is>
          <t>Common Stock Payments</t>
        </is>
      </c>
      <c r="C22" s="25" t="n">
        <v>-200</v>
      </c>
      <c r="D22" s="25" t="n">
        <v>-600</v>
      </c>
      <c r="E22" s="25" t="n">
        <v>-1100</v>
      </c>
      <c r="F22" s="25" t="n">
        <v>-551</v>
      </c>
    </row>
    <row r="23">
      <c r="A23" s="3" t="inlineStr">
        <is>
          <t>Net Issuance Payments Of Debt</t>
        </is>
      </c>
      <c r="C23" s="25" t="n">
        <v>-705</v>
      </c>
      <c r="D23" s="25" t="n">
        <v>230</v>
      </c>
      <c r="E23" s="25" t="n">
        <v>1416</v>
      </c>
      <c r="F23" s="25" t="n">
        <v>3095</v>
      </c>
    </row>
    <row r="24">
      <c r="A24" s="3" t="inlineStr">
        <is>
          <t>Net Short Term Debt Issuance</t>
        </is>
      </c>
      <c r="C24" s="25" t="n">
        <v>24</v>
      </c>
      <c r="D24" s="25" t="n">
        <v>398</v>
      </c>
      <c r="E24" s="25" t="n">
        <v>124</v>
      </c>
      <c r="F24" s="25" t="n">
        <v>1863</v>
      </c>
    </row>
    <row r="25">
      <c r="A25" s="3" t="inlineStr">
        <is>
          <t>Short Term Debt Payments</t>
        </is>
      </c>
      <c r="C25" s="25" t="n">
        <v>-1856</v>
      </c>
      <c r="D25" s="25" t="n">
        <v>-987</v>
      </c>
      <c r="E25" s="25" t="n">
        <v>-1077</v>
      </c>
      <c r="F25" s="25" t="n">
        <v>-1327</v>
      </c>
    </row>
    <row r="26">
      <c r="A26" s="3" t="inlineStr">
        <is>
          <t>Short Term Debt Issuance</t>
        </is>
      </c>
      <c r="C26" s="25" t="n">
        <v>1880</v>
      </c>
      <c r="D26" s="25" t="n">
        <v>1385</v>
      </c>
      <c r="E26" s="25" t="n">
        <v>1201</v>
      </c>
      <c r="F26" s="25" t="n">
        <v>3190</v>
      </c>
    </row>
    <row r="27">
      <c r="A27" s="3" t="inlineStr">
        <is>
          <t>Net Long Term Debt Issuance</t>
        </is>
      </c>
      <c r="C27" s="25" t="n">
        <v>-729</v>
      </c>
      <c r="D27" s="25" t="n">
        <v>-168</v>
      </c>
      <c r="E27" s="25" t="n">
        <v>1292</v>
      </c>
      <c r="F27" s="25" t="n">
        <v>1232</v>
      </c>
    </row>
    <row r="28">
      <c r="A28" s="3" t="inlineStr">
        <is>
          <t>Long Term Debt Payments</t>
        </is>
      </c>
      <c r="C28" s="25" t="n">
        <v>-1029</v>
      </c>
      <c r="D28" s="25" t="n">
        <v>-1176</v>
      </c>
      <c r="E28" s="25" t="n">
        <v>-753</v>
      </c>
      <c r="F28" s="25" t="n">
        <v>-2370</v>
      </c>
    </row>
    <row r="29">
      <c r="A29" s="3" t="inlineStr">
        <is>
          <t>Long Term Debt Issuance</t>
        </is>
      </c>
      <c r="C29" s="25" t="n">
        <v>300</v>
      </c>
      <c r="D29" s="25" t="n">
        <v>1008</v>
      </c>
      <c r="E29" s="25" t="n">
        <v>2045</v>
      </c>
      <c r="F29" s="25" t="n">
        <v>3602</v>
      </c>
    </row>
    <row r="30">
      <c r="A30" s="3" t="inlineStr">
        <is>
          <t>Investing Cash Flow</t>
        </is>
      </c>
      <c r="C30" s="25" t="n">
        <v>6499</v>
      </c>
      <c r="D30" s="25" t="n">
        <v>-1009</v>
      </c>
      <c r="E30" s="25" t="n">
        <v>-1114</v>
      </c>
      <c r="F30" s="25" t="n">
        <v>-5227</v>
      </c>
    </row>
    <row r="31">
      <c r="A31" s="3" t="inlineStr">
        <is>
          <t>Cash Flow From Continuing Investing Activities</t>
        </is>
      </c>
      <c r="C31" s="25" t="n">
        <v>6499</v>
      </c>
      <c r="D31" s="25" t="n">
        <v>-1009</v>
      </c>
      <c r="E31" s="25" t="n">
        <v>-1114</v>
      </c>
      <c r="F31" s="25" t="n">
        <v>-5227</v>
      </c>
    </row>
    <row r="32">
      <c r="A32" s="3" t="inlineStr">
        <is>
          <t>Net Other Investing Changes</t>
        </is>
      </c>
      <c r="C32" s="25" t="n">
        <v>6731</v>
      </c>
      <c r="D32" s="25" t="n">
        <v>163</v>
      </c>
      <c r="E32" s="25" t="n">
        <v>-86</v>
      </c>
      <c r="F32" s="25" t="n">
        <v>43</v>
      </c>
    </row>
    <row r="33">
      <c r="A33" s="3" t="inlineStr">
        <is>
          <t>Interest Received Cfi</t>
        </is>
      </c>
      <c r="B33" s="25" t="n">
        <v>5234</v>
      </c>
    </row>
    <row r="34">
      <c r="A34" s="3" t="inlineStr">
        <is>
          <t>Net Investment Purchase And Sale</t>
        </is>
      </c>
      <c r="C34" s="25" t="n">
        <v>-130</v>
      </c>
      <c r="D34" s="25" t="n">
        <v>-84</v>
      </c>
      <c r="E34" s="25" t="n">
        <v>-327</v>
      </c>
      <c r="F34" s="25" t="n">
        <v>-327</v>
      </c>
    </row>
    <row r="35">
      <c r="A35" s="3" t="inlineStr">
        <is>
          <t>Sale Of Investment</t>
        </is>
      </c>
      <c r="C35" s="25" t="n">
        <v>326</v>
      </c>
      <c r="D35" s="25" t="n">
        <v>49</v>
      </c>
      <c r="E35" s="25" t="n">
        <v>958</v>
      </c>
      <c r="F35" s="25" t="n">
        <v>2753</v>
      </c>
    </row>
    <row r="36">
      <c r="A36" s="3" t="inlineStr">
        <is>
          <t>Purchase Of Investment</t>
        </is>
      </c>
      <c r="C36" s="25" t="n">
        <v>-456</v>
      </c>
      <c r="D36" s="25" t="n">
        <v>-133</v>
      </c>
      <c r="E36" s="25" t="n">
        <v>-1285</v>
      </c>
      <c r="F36" s="25" t="n">
        <v>-3080</v>
      </c>
    </row>
    <row r="37">
      <c r="A37" s="3" t="inlineStr">
        <is>
          <t>Net Business Purchase And Sale</t>
        </is>
      </c>
      <c r="C37" s="25" t="n">
        <v>453</v>
      </c>
      <c r="D37" s="25" t="n">
        <v>34</v>
      </c>
      <c r="E37" s="25" t="n">
        <v>675</v>
      </c>
      <c r="F37" s="25" t="n">
        <v>-3220</v>
      </c>
    </row>
    <row r="38">
      <c r="A38" s="3" t="inlineStr">
        <is>
          <t>Sale Of Business</t>
        </is>
      </c>
      <c r="C38" s="25" t="n">
        <v>508</v>
      </c>
      <c r="D38" s="25" t="n">
        <v>170</v>
      </c>
      <c r="E38" s="25" t="n">
        <v>736</v>
      </c>
      <c r="F38" s="25" t="n">
        <v>1053</v>
      </c>
    </row>
    <row r="39">
      <c r="A39" s="3" t="inlineStr">
        <is>
          <t>Purchase Of Business</t>
        </is>
      </c>
      <c r="C39" s="25" t="n">
        <v>-55</v>
      </c>
      <c r="D39" s="25" t="n">
        <v>-136</v>
      </c>
      <c r="E39" s="25" t="n">
        <v>-61</v>
      </c>
      <c r="F39" s="25" t="n">
        <v>-4273</v>
      </c>
    </row>
    <row r="40">
      <c r="A40" s="3" t="inlineStr">
        <is>
          <t>Capital Expenditure Reported</t>
        </is>
      </c>
      <c r="C40" s="25" t="n">
        <v>-555</v>
      </c>
      <c r="D40" s="25" t="n">
        <v>-1122</v>
      </c>
      <c r="E40" s="25" t="n">
        <v>-1376</v>
      </c>
      <c r="F40" s="25" t="n">
        <v>-1723</v>
      </c>
    </row>
    <row r="41">
      <c r="A41" s="3" t="inlineStr">
        <is>
          <t>Operating Cash Flow</t>
        </is>
      </c>
      <c r="C41" s="25" t="n">
        <v>-5549</v>
      </c>
      <c r="D41" s="25" t="n">
        <v>3308</v>
      </c>
      <c r="E41" s="25" t="n">
        <v>1900</v>
      </c>
      <c r="F41" s="25" t="n">
        <v>844</v>
      </c>
    </row>
    <row r="42">
      <c r="A42" s="3" t="inlineStr">
        <is>
          <t>Cash Flow From Continuing Operating Activities</t>
        </is>
      </c>
      <c r="C42" s="25" t="n">
        <v>-5549</v>
      </c>
      <c r="D42" s="25" t="n">
        <v>3308</v>
      </c>
      <c r="E42" s="25" t="n">
        <v>1900</v>
      </c>
      <c r="F42" s="25" t="n">
        <v>844</v>
      </c>
    </row>
    <row r="43">
      <c r="A43" s="3" t="inlineStr">
        <is>
          <t>Change In Working Capital</t>
        </is>
      </c>
      <c r="C43" s="25" t="n">
        <v>-7627</v>
      </c>
      <c r="D43" s="25" t="n">
        <v>673</v>
      </c>
      <c r="E43" s="25" t="n">
        <v>95</v>
      </c>
      <c r="F43" s="25" t="n">
        <v>-502</v>
      </c>
    </row>
    <row r="44">
      <c r="A44" s="3" t="inlineStr">
        <is>
          <t>Change In Other Working Capital</t>
        </is>
      </c>
      <c r="C44" s="25" t="n">
        <v>-590</v>
      </c>
      <c r="D44" s="25" t="n">
        <v>-64</v>
      </c>
      <c r="E44" s="25" t="n">
        <v>197</v>
      </c>
      <c r="F44" s="25" t="n">
        <v>477</v>
      </c>
    </row>
    <row r="45">
      <c r="A45" s="3" t="inlineStr">
        <is>
          <t>Change In Other Current Assets</t>
        </is>
      </c>
      <c r="C45" s="25" t="n">
        <v>325</v>
      </c>
      <c r="D45" s="25" t="n">
        <v>23</v>
      </c>
      <c r="E45" s="25" t="n">
        <v>-36</v>
      </c>
      <c r="F45" s="25" t="n">
        <v>15</v>
      </c>
    </row>
    <row r="46">
      <c r="A46" s="3" t="inlineStr">
        <is>
          <t>Change In Payables And Accrued Expense</t>
        </is>
      </c>
      <c r="C46" s="25" t="n">
        <v>67</v>
      </c>
      <c r="D46" s="25" t="n">
        <v>-939</v>
      </c>
      <c r="E46" s="25" t="n">
        <v>-538</v>
      </c>
      <c r="F46" s="25" t="n">
        <v>153</v>
      </c>
    </row>
    <row r="47">
      <c r="A47" s="3" t="inlineStr">
        <is>
          <t>Change In Accrued Expense</t>
        </is>
      </c>
      <c r="B47" s="25" t="n">
        <v>39</v>
      </c>
    </row>
    <row r="48">
      <c r="A48" s="3" t="inlineStr">
        <is>
          <t>Change In Payable</t>
        </is>
      </c>
      <c r="B48" s="25" t="n">
        <v>1594</v>
      </c>
    </row>
    <row r="49">
      <c r="A49" s="3" t="inlineStr">
        <is>
          <t>Change In Account Payable</t>
        </is>
      </c>
      <c r="B49" s="25" t="n">
        <v>1594</v>
      </c>
    </row>
    <row r="50">
      <c r="A50" s="3" t="inlineStr">
        <is>
          <t>Change In Prepaid Assets</t>
        </is>
      </c>
      <c r="C50" s="25" t="n">
        <v>-14</v>
      </c>
      <c r="D50" s="25" t="n">
        <v>-121</v>
      </c>
      <c r="E50" s="25" t="n">
        <v>207</v>
      </c>
      <c r="F50" s="25" t="n">
        <v>22</v>
      </c>
    </row>
    <row r="51">
      <c r="A51" s="3" t="inlineStr">
        <is>
          <t>Change In Inventory</t>
        </is>
      </c>
      <c r="C51" s="25" t="n">
        <v>-269</v>
      </c>
      <c r="D51" s="25" t="n">
        <v>1518</v>
      </c>
      <c r="E51" s="25" t="n">
        <v>96</v>
      </c>
      <c r="F51" s="25" t="n">
        <v>-700</v>
      </c>
    </row>
    <row r="52">
      <c r="A52" s="3" t="inlineStr">
        <is>
          <t>Change In Receivables</t>
        </is>
      </c>
      <c r="C52" s="25" t="n">
        <v>-7146</v>
      </c>
      <c r="D52" s="25" t="n">
        <v>256</v>
      </c>
      <c r="E52" s="25" t="n">
        <v>169</v>
      </c>
      <c r="F52" s="25" t="n">
        <v>-469</v>
      </c>
    </row>
    <row r="53">
      <c r="A53" s="3" t="inlineStr">
        <is>
          <t>Changes In Account Receivables</t>
        </is>
      </c>
      <c r="C53" s="25" t="n">
        <v>-7146</v>
      </c>
      <c r="D53" s="25" t="n">
        <v>256</v>
      </c>
      <c r="E53" s="25" t="n">
        <v>169</v>
      </c>
      <c r="F53" s="25" t="n">
        <v>-469</v>
      </c>
    </row>
    <row r="54">
      <c r="A54" s="3" t="inlineStr">
        <is>
          <t>Other Non Cash Items</t>
        </is>
      </c>
      <c r="C54" s="25" t="n">
        <v>97</v>
      </c>
      <c r="D54" s="25" t="n">
        <v>117</v>
      </c>
      <c r="E54" s="25" t="n">
        <v>65</v>
      </c>
      <c r="F54" s="25" t="n">
        <v>138</v>
      </c>
    </row>
    <row r="55">
      <c r="A55" s="3" t="inlineStr">
        <is>
          <t>Stock Based Compensation</t>
        </is>
      </c>
      <c r="C55" s="25" t="n">
        <v>65</v>
      </c>
      <c r="D55" s="25" t="n">
        <v>69</v>
      </c>
      <c r="E55" s="25" t="n">
        <v>65</v>
      </c>
      <c r="F55" s="25" t="n">
        <v>73</v>
      </c>
    </row>
    <row r="56">
      <c r="A56" s="3" t="inlineStr">
        <is>
          <t>Asset Impairment Charge</t>
        </is>
      </c>
      <c r="C56" s="25" t="n">
        <v>162</v>
      </c>
      <c r="D56" s="25" t="n">
        <v>104</v>
      </c>
      <c r="E56" s="25" t="n">
        <v>41</v>
      </c>
      <c r="F56" s="25" t="n">
        <v>53</v>
      </c>
    </row>
    <row r="57">
      <c r="A57" s="3" t="inlineStr">
        <is>
          <t>Deferred Tax</t>
        </is>
      </c>
      <c r="C57" s="25" t="n">
        <v>-119</v>
      </c>
      <c r="D57" s="25" t="n">
        <v>-1</v>
      </c>
      <c r="E57" s="25" t="n">
        <v>-10</v>
      </c>
      <c r="F57" s="25" t="n">
        <v>-62</v>
      </c>
    </row>
    <row r="58">
      <c r="A58" s="3" t="inlineStr">
        <is>
          <t>Deferred Income Tax</t>
        </is>
      </c>
      <c r="C58" s="25" t="n">
        <v>-119</v>
      </c>
      <c r="D58" s="25" t="n">
        <v>-1</v>
      </c>
      <c r="E58" s="25" t="n">
        <v>-10</v>
      </c>
      <c r="F58" s="25" t="n">
        <v>-62</v>
      </c>
    </row>
    <row r="59">
      <c r="A59" s="3" t="inlineStr">
        <is>
          <t>Depreciation Amortization Depletion</t>
        </is>
      </c>
      <c r="C59" s="25" t="n">
        <v>408</v>
      </c>
      <c r="D59" s="25" t="n">
        <v>451</v>
      </c>
      <c r="E59" s="25" t="n">
        <v>468</v>
      </c>
      <c r="F59" s="25" t="n">
        <v>703</v>
      </c>
    </row>
    <row r="60">
      <c r="A60" s="3" t="inlineStr">
        <is>
          <t>Operating Gains Losses</t>
        </is>
      </c>
      <c r="C60" s="25" t="n">
        <v>-213</v>
      </c>
      <c r="D60" s="25" t="n">
        <v>-442</v>
      </c>
      <c r="E60" s="25" t="n">
        <v>-12</v>
      </c>
      <c r="F60" s="25" t="n">
        <v>-402</v>
      </c>
    </row>
    <row r="61">
      <c r="A61" s="3" t="inlineStr">
        <is>
          <t>Earnings Losses From Equity Investments</t>
        </is>
      </c>
      <c r="C61" s="25" t="n">
        <v>-106</v>
      </c>
      <c r="D61" s="25" t="n">
        <v>-157</v>
      </c>
      <c r="E61" s="25" t="n">
        <v>19</v>
      </c>
      <c r="F61" s="25" t="n">
        <v>-26</v>
      </c>
    </row>
    <row r="62">
      <c r="A62" s="3" t="inlineStr">
        <is>
          <t>Gain Loss On Investment Securities</t>
        </is>
      </c>
      <c r="C62" s="25" t="n">
        <v>-6</v>
      </c>
      <c r="D62" s="25" t="n">
        <v>-4</v>
      </c>
      <c r="E62" s="25" t="n">
        <v>-205</v>
      </c>
      <c r="F62" s="25" t="n">
        <v>-160</v>
      </c>
    </row>
    <row r="63">
      <c r="A63" s="3" t="inlineStr">
        <is>
          <t>Net Foreign Currency Exchange Gain Loss</t>
        </is>
      </c>
      <c r="C63" s="25" t="n">
        <v>-101</v>
      </c>
      <c r="D63" s="25" t="n">
        <v>-281</v>
      </c>
      <c r="E63" s="25" t="n">
        <v>174</v>
      </c>
      <c r="F63" s="25" t="n">
        <v>-216</v>
      </c>
    </row>
    <row r="64">
      <c r="A64" s="3" t="inlineStr">
        <is>
          <t>Net Income From Continuing Operations</t>
        </is>
      </c>
      <c r="C64" s="25" t="n">
        <v>1678</v>
      </c>
      <c r="D64" s="25" t="n">
        <v>2337</v>
      </c>
      <c r="E64" s="25" t="n">
        <v>1188</v>
      </c>
      <c r="F64" s="25" t="n">
        <v>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2026-10-13T17:41:36Z</dcterms:created>
  <dcterms:modified xmlns:dcterms="http://purl.org/dc/terms/" xmlns:xsi="http://www.w3.org/2001/XMLSchema-instance" xsi:type="dcterms:W3CDTF">2026-10-13T17:41:36Z</dcterms:modified>
</cp:coreProperties>
</file>