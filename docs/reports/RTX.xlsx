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DDM" sheetId="9" state="visible" r:id="rId9"/>
    <sheet xmlns:r="http://schemas.openxmlformats.org/officeDocument/2006/relationships" name="IS (reported)" sheetId="10" state="visible" r:id="rId10"/>
    <sheet xmlns:r="http://schemas.openxmlformats.org/officeDocument/2006/relationships" name="BS (reported)" sheetId="11" state="visible" r:id="rId11"/>
    <sheet xmlns:r="http://schemas.openxmlformats.org/officeDocument/2006/relationships" name="CF (reported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  <xf numFmtId="167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RTX Corporation (RTX)</t>
        </is>
      </c>
    </row>
    <row r="2">
      <c r="A2" s="2" t="inlineStr">
        <is>
          <t>Industrials · Standard (forward multiples + DCF) · generated 2026-10-13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183.6888219794583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RTX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121.4801154006566</v>
      </c>
      <c r="D5" s="6" t="n">
        <v>85.50478036434751</v>
      </c>
      <c r="E5" s="6" t="n">
        <v>165.5903143714298</v>
      </c>
      <c r="F5" s="11" t="n">
        <v>0.3723404255319149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175.2308116454666</v>
      </c>
      <c r="D6" s="6" t="n">
        <v>143.6892655492826</v>
      </c>
      <c r="E6" s="6" t="n">
        <v>206.7723577416506</v>
      </c>
      <c r="F6" s="11" t="n">
        <v>0.3191489361702128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191.0178163261819</v>
      </c>
      <c r="D7" s="6" t="n">
        <v>152.0985433082424</v>
      </c>
      <c r="E7" s="6" t="n">
        <v>229.9370893441214</v>
      </c>
      <c r="F7" s="11" t="n">
        <v>0.2659574468085106</v>
      </c>
      <c r="G7" s="2" t="inlineStr">
        <is>
          <t>ok</t>
        </is>
      </c>
    </row>
    <row r="8">
      <c r="A8" s="3" t="inlineStr">
        <is>
          <t>Multi-stage dividend discount</t>
        </is>
      </c>
      <c r="B8" s="2" t="inlineStr">
        <is>
          <t>sector</t>
        </is>
      </c>
      <c r="C8" s="6" t="n">
        <v>55.82842077205682</v>
      </c>
      <c r="D8" s="6" t="n">
        <v>44.66273661764546</v>
      </c>
      <c r="E8" s="6" t="n">
        <v>66.99410492646818</v>
      </c>
      <c r="F8" s="11" t="n">
        <v>0.04255319148936171</v>
      </c>
      <c r="G8" s="2" t="inlineStr">
        <is>
          <t>ok — down-weighted: 0.4x the median of the other lenses</t>
        </is>
      </c>
    </row>
    <row r="10">
      <c r="A10" s="3" t="inlineStr">
        <is>
          <t>Weights sum</t>
        </is>
      </c>
      <c r="B10" s="12">
        <f>SUM(F5:F8)</f>
        <v/>
      </c>
    </row>
    <row r="11">
      <c r="A11" s="13" t="inlineStr">
        <is>
          <t>Blended fair value (today)</t>
        </is>
      </c>
      <c r="B11" s="14">
        <f>SUMPRODUCT(C5:C8,F5:F8)/SUM(F5:F8)</f>
        <v/>
      </c>
    </row>
    <row r="12">
      <c r="A12" s="3" t="inlineStr">
        <is>
          <t>Cost of equity (Ke)</t>
        </is>
      </c>
      <c r="B12" s="15" t="n">
        <v>0.08015229628061857</v>
      </c>
    </row>
    <row r="13">
      <c r="A13" s="3" t="inlineStr">
        <is>
          <t>Dividends per share (12m)</t>
        </is>
      </c>
      <c r="B13" s="6" t="n">
        <v>2.92</v>
      </c>
    </row>
    <row r="14">
      <c r="A14" s="3" t="inlineStr">
        <is>
          <t>Model 12-month target = FV×(1+Ke)−DPS</t>
        </is>
      </c>
      <c r="B14" s="16">
        <f>$B$11*(1+$B$12)-$B$13</f>
        <v/>
      </c>
    </row>
    <row r="15">
      <c r="A15" s="3" t="inlineStr">
        <is>
          <t>Street mean target</t>
        </is>
      </c>
      <c r="B15" s="6" t="n">
        <v>230.13043</v>
      </c>
    </row>
    <row r="16">
      <c r="A16" s="3" t="inlineStr">
        <is>
          <t>Street weight in target</t>
        </is>
      </c>
      <c r="B16" s="11" t="n">
        <v>0.3</v>
      </c>
    </row>
    <row r="17">
      <c r="A17" s="13" t="inlineStr">
        <is>
          <t>Published 12-month target</t>
        </is>
      </c>
      <c r="B17" s="17">
        <f>(1-$B$16)*$B$14+$B$16*$B$15</f>
        <v/>
      </c>
    </row>
    <row r="18">
      <c r="A18" s="3" t="inlineStr">
        <is>
          <t>Current price</t>
        </is>
      </c>
      <c r="B18" s="6" t="n">
        <v>181.9101</v>
      </c>
    </row>
    <row r="19">
      <c r="A19" s="3" t="inlineStr">
        <is>
          <t>Engine target (incl. plausibility band)</t>
        </is>
      </c>
      <c r="B19" s="6" t="n">
        <v>183.6888219794583</v>
      </c>
    </row>
    <row r="21">
      <c r="A21" s="8" t="inlineStr">
        <is>
          <t>Guardrails</t>
        </is>
      </c>
    </row>
    <row r="22">
      <c r="A22" s="2" t="inlineStr">
        <is>
          <t>Multi-stage dividend discount sits 0.4x the lens median and was down-weighted by 60%.</t>
        </is>
      </c>
    </row>
    <row r="23">
      <c r="A23" s="2" t="inlineStr">
        <is>
          <t>Target anchored 30% to the Street consensus ($230.13, 23 analysts); model-only target $163.79.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RTX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96167.91029</v>
      </c>
      <c r="C5" s="18" t="n">
        <v>103405.58475</v>
      </c>
      <c r="D5" s="19" t="n">
        <v>109564.6432920777</v>
      </c>
      <c r="E5" s="19" t="n">
        <v>114907.7677744671</v>
      </c>
      <c r="F5" s="19" t="n">
        <v>119658.4490062677</v>
      </c>
      <c r="G5" s="19" t="n">
        <v>123994.7106081267</v>
      </c>
      <c r="H5" s="19" t="n">
        <v>128052.8505147769</v>
      </c>
      <c r="I5" s="19" t="n">
        <v>131934.7000998805</v>
      </c>
      <c r="J5" s="19" t="n">
        <v>135715.2232283479</v>
      </c>
      <c r="K5" s="19" t="n">
        <v>139108.1038090566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0.1396481306900122</v>
      </c>
      <c r="C7" s="11" t="n">
        <v>0.1394125389100221</v>
      </c>
      <c r="D7" s="11" t="n">
        <v>0.1364377593040963</v>
      </c>
      <c r="E7" s="11" t="n">
        <v>0.1334629796981706</v>
      </c>
      <c r="F7" s="11" t="n">
        <v>0.1304882000922448</v>
      </c>
      <c r="G7" s="11" t="n">
        <v>0.127513420486319</v>
      </c>
      <c r="H7" s="11" t="n">
        <v>0.1245386408803932</v>
      </c>
      <c r="I7" s="11" t="n">
        <v>0.1215638612744674</v>
      </c>
      <c r="J7" s="11" t="n">
        <v>0.1215638612744674</v>
      </c>
      <c r="K7" s="11" t="n">
        <v>0.1215638612744674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9770.734395905281</v>
      </c>
      <c r="C9" s="18" t="n">
        <v>10601.9372760544</v>
      </c>
      <c r="D9" s="19" t="n">
        <v>11050.85557188599</v>
      </c>
      <c r="E9" s="19" t="n">
        <v>11377.12790995933</v>
      </c>
      <c r="F9" s="19" t="n">
        <v>11611.46584980466</v>
      </c>
      <c r="G9" s="19" t="n">
        <v>11777.45428782425</v>
      </c>
      <c r="H9" s="19" t="n">
        <v>11892.51401036997</v>
      </c>
      <c r="I9" s="19" t="n">
        <v>11969.16831947505</v>
      </c>
      <c r="J9" s="19" t="n">
        <v>12356.44847304104</v>
      </c>
      <c r="K9" s="19" t="n">
        <v>12704.01817905171</v>
      </c>
    </row>
    <row r="10">
      <c r="A10" s="3" t="inlineStr">
        <is>
          <t>EPS</t>
        </is>
      </c>
      <c r="B10" s="16">
        <f>B9*1000000/1347758144.0</f>
        <v/>
      </c>
      <c r="C10" s="16">
        <f>C9*1000000/1347758144.0</f>
        <v/>
      </c>
      <c r="D10" s="16">
        <f>D9*1000000/1347758144.0</f>
        <v/>
      </c>
      <c r="E10" s="16">
        <f>E9*1000000/1347758144.0</f>
        <v/>
      </c>
      <c r="F10" s="16">
        <f>F9*1000000/1347758144.0</f>
        <v/>
      </c>
      <c r="G10" s="16">
        <f>G9*1000000/1347758144.0</f>
        <v/>
      </c>
      <c r="H10" s="16">
        <f>H9*1000000/1347758144.0</f>
        <v/>
      </c>
      <c r="I10" s="16">
        <f>I9*1000000/1347758144.0</f>
        <v/>
      </c>
      <c r="J10" s="16">
        <f>J9*1000000/1347758144.0</f>
        <v/>
      </c>
      <c r="K10" s="16">
        <f>K9*1000000/1347758144.0</f>
        <v/>
      </c>
    </row>
    <row r="12">
      <c r="A12" s="13" t="inlineStr">
        <is>
          <t>Levered FCF (mn)</t>
        </is>
      </c>
      <c r="B12" s="20" t="n">
        <v>10330.62857889066</v>
      </c>
      <c r="C12" s="20" t="n">
        <v>11071.29908717793</v>
      </c>
      <c r="D12" s="20" t="n">
        <v>11478.62841497856</v>
      </c>
      <c r="E12" s="20" t="n">
        <v>11693.55971651077</v>
      </c>
      <c r="F12" s="20" t="n">
        <v>11759.01304261006</v>
      </c>
      <c r="G12" s="20" t="n">
        <v>11709.27088042086</v>
      </c>
      <c r="H12" s="20" t="n">
        <v>11570.21693576849</v>
      </c>
      <c r="I12" s="20" t="n">
        <v>11360.64722374202</v>
      </c>
      <c r="J12" s="20" t="n">
        <v>11434.01830013891</v>
      </c>
      <c r="K12" s="20" t="n">
        <v>11488.17973574782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RTX — Assumptions &amp; Drivers</t>
        </is>
      </c>
    </row>
    <row r="2">
      <c r="A2" s="2" t="inlineStr">
        <is>
          <t>Blue cells are inputs — change them and the whole model recalculates. Source: yfinance,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181.9101</v>
      </c>
    </row>
    <row r="6">
      <c r="A6" s="3" t="inlineStr">
        <is>
          <t>Diluted shares (mn)</t>
        </is>
      </c>
      <c r="B6" s="18" t="n">
        <v>1347.758144</v>
      </c>
    </row>
    <row r="7">
      <c r="A7" s="3" t="inlineStr">
        <is>
          <t>Total debt (USDmm)</t>
        </is>
      </c>
      <c r="B7" s="18" t="n">
        <v>39506</v>
      </c>
    </row>
    <row r="8">
      <c r="A8" s="3" t="inlineStr">
        <is>
          <t>Cash &amp; ST investments (USDmm)</t>
        </is>
      </c>
      <c r="B8" s="18" t="n">
        <v>7435</v>
      </c>
    </row>
    <row r="9">
      <c r="A9" s="3" t="inlineStr">
        <is>
          <t>Minority interest (USDmm)</t>
        </is>
      </c>
      <c r="B9" s="18" t="n">
        <v>1893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0.8100000000000001</v>
      </c>
    </row>
    <row r="18">
      <c r="A18" s="3" t="inlineStr">
        <is>
          <t>Pre-tax cost of debt</t>
        </is>
      </c>
      <c r="B18" s="15" t="n">
        <v>0.05499999999999999</v>
      </c>
    </row>
    <row r="19">
      <c r="A19" s="3" t="inlineStr">
        <is>
          <t>Tax rate</t>
        </is>
      </c>
      <c r="B19" s="11" t="n">
        <v>0.1573080286726972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0.08537984368475104</v>
      </c>
      <c r="C26" s="11" t="n">
        <v>0.07526080621045383</v>
      </c>
      <c r="D26" s="11" t="n">
        <v>0.05956214605785787</v>
      </c>
      <c r="E26" s="11" t="n">
        <v>0.0487668678676357</v>
      </c>
      <c r="F26" s="11" t="n">
        <v>0.04134342981168064</v>
      </c>
      <c r="G26" s="11" t="n">
        <v>0.03623865792905184</v>
      </c>
      <c r="H26" s="11" t="n">
        <v>0.03272833080336466</v>
      </c>
      <c r="I26" s="11" t="n">
        <v>0.03031443321642889</v>
      </c>
      <c r="J26" s="11" t="n">
        <v>0.02865450200444145</v>
      </c>
      <c r="K26" s="11" t="n">
        <v>0.025</v>
      </c>
    </row>
    <row r="27">
      <c r="A27" s="3" t="inlineStr">
        <is>
          <t>EBIT margin</t>
        </is>
      </c>
      <c r="B27" s="11" t="n">
        <v>0.1396481306900122</v>
      </c>
      <c r="C27" s="11" t="n">
        <v>0.1394125389100221</v>
      </c>
      <c r="D27" s="11" t="n">
        <v>0.1364377593040963</v>
      </c>
      <c r="E27" s="11" t="n">
        <v>0.1334629796981706</v>
      </c>
      <c r="F27" s="11" t="n">
        <v>0.1304882000922448</v>
      </c>
      <c r="G27" s="11" t="n">
        <v>0.127513420486319</v>
      </c>
      <c r="H27" s="11" t="n">
        <v>0.1245386408803932</v>
      </c>
      <c r="I27" s="11" t="n">
        <v>0.1215638612744674</v>
      </c>
      <c r="J27" s="11" t="n">
        <v>0.1215638612744674</v>
      </c>
      <c r="K27" s="11" t="n">
        <v>0.1215638612744674</v>
      </c>
    </row>
    <row r="28">
      <c r="A28" s="3" t="inlineStr">
        <is>
          <t>D&amp;A % of revenue</t>
        </is>
      </c>
      <c r="B28" s="11" t="n">
        <v>0.05645210241318883</v>
      </c>
      <c r="C28" s="11" t="n">
        <v>0.05645210241318883</v>
      </c>
      <c r="D28" s="11" t="n">
        <v>0.05645210241318883</v>
      </c>
      <c r="E28" s="11" t="n">
        <v>0.05645210241318883</v>
      </c>
      <c r="F28" s="11" t="n">
        <v>0.05645210241318883</v>
      </c>
      <c r="G28" s="11" t="n">
        <v>0.05645210241318883</v>
      </c>
      <c r="H28" s="11" t="n">
        <v>0.05645210241318883</v>
      </c>
      <c r="I28" s="11" t="n">
        <v>0.05645210241318883</v>
      </c>
      <c r="J28" s="11" t="n">
        <v>0.05645210241318883</v>
      </c>
      <c r="K28" s="11" t="n">
        <v>0.05645210241318883</v>
      </c>
    </row>
    <row r="29">
      <c r="A29" s="3" t="inlineStr">
        <is>
          <t>Capex % of revenue</t>
        </is>
      </c>
      <c r="B29" s="11" t="n">
        <v>0.04064794058194451</v>
      </c>
      <c r="C29" s="11" t="n">
        <v>0.04303120414556264</v>
      </c>
      <c r="D29" s="11" t="n">
        <v>0.04541446770918078</v>
      </c>
      <c r="E29" s="11" t="n">
        <v>0.04779773127279891</v>
      </c>
      <c r="F29" s="11" t="n">
        <v>0.05018099483641705</v>
      </c>
      <c r="G29" s="11" t="n">
        <v>0.05256425840003518</v>
      </c>
      <c r="H29" s="11" t="n">
        <v>0.05494752196365332</v>
      </c>
      <c r="I29" s="11" t="n">
        <v>0.05733078552727145</v>
      </c>
      <c r="J29" s="11" t="n">
        <v>0.05971404909088959</v>
      </c>
      <c r="K29" s="11" t="n">
        <v>0.06209731265450772</v>
      </c>
    </row>
    <row r="30">
      <c r="A30" s="3" t="inlineStr">
        <is>
          <t>ΔNWC % of Δrevenue</t>
        </is>
      </c>
      <c r="B30" s="11" t="n">
        <v>0.126896287914919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67074</v>
      </c>
      <c r="C5" s="25" t="n">
        <v>68920</v>
      </c>
      <c r="D5" s="25" t="n">
        <v>80738</v>
      </c>
      <c r="E5" s="25" t="n">
        <v>88603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5504</v>
      </c>
      <c r="C7" s="25" t="n">
        <v>3561</v>
      </c>
      <c r="D7" s="25" t="n">
        <v>6538</v>
      </c>
      <c r="E7" s="25" t="n">
        <v>9300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4108</v>
      </c>
      <c r="C9" s="25" t="n">
        <v>4211</v>
      </c>
      <c r="D9" s="25" t="n">
        <v>4364</v>
      </c>
      <c r="E9" s="25" t="n">
        <v>4378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2775</v>
      </c>
      <c r="C12" s="25" t="n">
        <v>3166</v>
      </c>
      <c r="D12" s="25" t="n">
        <v>3236</v>
      </c>
      <c r="E12" s="25" t="n">
        <v>3119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-522</v>
      </c>
      <c r="C13" s="25" t="n">
        <v>-1515</v>
      </c>
      <c r="D13" s="25" t="n">
        <v>1085</v>
      </c>
      <c r="E13" s="25" t="n">
        <v>1274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97316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0.06046242820156358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0.06796242820156359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0.07546242820156358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0.08296242820156358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0.09046242820156358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Multi-stage dividend discount</t>
        </is>
      </c>
    </row>
    <row r="2">
      <c r="A2" s="2" t="inlineStr">
        <is>
          <t>Dividends fade from the retention-implied growth to terminal g, at Ke.</t>
        </is>
      </c>
    </row>
    <row r="4">
      <c r="A4" s="3" t="inlineStr">
        <is>
          <t>Current DPS (USD)</t>
        </is>
      </c>
      <c r="B4" s="6" t="n">
        <v>2.92</v>
      </c>
    </row>
    <row r="5">
      <c r="A5" s="3" t="inlineStr">
        <is>
          <t>Near-term dividend growth</t>
        </is>
      </c>
      <c r="B5" s="36" t="n">
        <v>0.06</v>
      </c>
    </row>
    <row r="6">
      <c r="A6" s="3" t="inlineStr">
        <is>
          <t>Terminal growth</t>
        </is>
      </c>
      <c r="B6" s="33">
        <f>Assumptions!$B$22</f>
        <v/>
      </c>
    </row>
    <row r="7">
      <c r="A7" s="3" t="inlineStr">
        <is>
          <t>Cost of equity (Ke)</t>
        </is>
      </c>
      <c r="B7" s="7">
        <f>WACC!$B$4</f>
        <v/>
      </c>
    </row>
    <row r="9">
      <c r="A9" s="9" t="inlineStr">
        <is>
          <t>Year</t>
        </is>
      </c>
      <c r="B9" s="10" t="inlineStr">
        <is>
          <t>Y1</t>
        </is>
      </c>
      <c r="C9" s="10" t="inlineStr">
        <is>
          <t>Y2</t>
        </is>
      </c>
      <c r="D9" s="10" t="inlineStr">
        <is>
          <t>Y3</t>
        </is>
      </c>
      <c r="E9" s="10" t="inlineStr">
        <is>
          <t>Y4</t>
        </is>
      </c>
      <c r="F9" s="10" t="inlineStr">
        <is>
          <t>Y5</t>
        </is>
      </c>
      <c r="G9" s="10" t="inlineStr">
        <is>
          <t>Y6</t>
        </is>
      </c>
    </row>
    <row r="10">
      <c r="A10" s="3" t="inlineStr">
        <is>
          <t>Growth (fade)</t>
        </is>
      </c>
      <c r="B10" s="12">
        <f>$B$5+($B$6-$B$5)*0/5</f>
        <v/>
      </c>
      <c r="C10" s="12">
        <f>$B$5+($B$6-$B$5)*1/5</f>
        <v/>
      </c>
      <c r="D10" s="12">
        <f>$B$5+($B$6-$B$5)*2/5</f>
        <v/>
      </c>
      <c r="E10" s="12">
        <f>$B$5+($B$6-$B$5)*3/5</f>
        <v/>
      </c>
      <c r="F10" s="12">
        <f>$B$5+($B$6-$B$5)*4/5</f>
        <v/>
      </c>
      <c r="G10" s="12">
        <f>$B$5+($B$6-$B$5)*5/5</f>
        <v/>
      </c>
    </row>
    <row r="11">
      <c r="A11" s="3" t="inlineStr">
        <is>
          <t>DPS</t>
        </is>
      </c>
      <c r="B11" s="16">
        <f>$B$4*(1+B10)</f>
        <v/>
      </c>
      <c r="C11" s="16">
        <f>B11*(1+C10)</f>
        <v/>
      </c>
      <c r="D11" s="16">
        <f>C11*(1+D10)</f>
        <v/>
      </c>
      <c r="E11" s="16">
        <f>D11*(1+E10)</f>
        <v/>
      </c>
      <c r="F11" s="16">
        <f>E11*(1+F10)</f>
        <v/>
      </c>
      <c r="G11" s="16">
        <f>F11*(1+G10)</f>
        <v/>
      </c>
    </row>
    <row r="12">
      <c r="A12" s="3" t="inlineStr">
        <is>
          <t>PV of DPS</t>
        </is>
      </c>
      <c r="B12" s="16">
        <f>B11/(1+$B$7)^1</f>
        <v/>
      </c>
      <c r="C12" s="16">
        <f>C11/(1+$B$7)^2</f>
        <v/>
      </c>
      <c r="D12" s="16">
        <f>D11/(1+$B$7)^3</f>
        <v/>
      </c>
      <c r="E12" s="16">
        <f>E11/(1+$B$7)^4</f>
        <v/>
      </c>
      <c r="F12" s="16">
        <f>F11/(1+$B$7)^5</f>
        <v/>
      </c>
      <c r="G12" s="16">
        <f>G11/(1+$B$7)^6</f>
        <v/>
      </c>
    </row>
    <row r="14">
      <c r="A14" s="3" t="inlineStr">
        <is>
          <t>PV explicit dividends</t>
        </is>
      </c>
      <c r="B14" s="16">
        <f>SUM(B12:G12)</f>
        <v/>
      </c>
    </row>
    <row r="15">
      <c r="A15" s="3" t="inlineStr">
        <is>
          <t>PV terminal value</t>
        </is>
      </c>
      <c r="B15" s="16">
        <f>G11*(1+$B$6)/($B$7-$B$6)/(1+$B$7)^6</f>
        <v/>
      </c>
    </row>
    <row r="16">
      <c r="A16" s="13" t="inlineStr">
        <is>
          <t>Value per share</t>
        </is>
      </c>
      <c r="B16" s="17">
        <f>$B$14+$B$15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RTX — IS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0</v>
      </c>
      <c r="D5" s="25" t="n">
        <v>0</v>
      </c>
      <c r="E5" s="25" t="n">
        <v>0</v>
      </c>
      <c r="F5" s="25" t="n">
        <v>0</v>
      </c>
    </row>
    <row r="6">
      <c r="A6" s="3" t="inlineStr">
        <is>
          <t>Tax Rate For Calcs</t>
        </is>
      </c>
      <c r="C6" s="25" t="n">
        <v>1.29e-07</v>
      </c>
      <c r="D6" s="25" t="n">
        <v>1.19e-07</v>
      </c>
      <c r="E6" s="25" t="n">
        <v>1.90668e-07</v>
      </c>
      <c r="F6" s="25" t="n">
        <v>1.90542e-07</v>
      </c>
    </row>
    <row r="7">
      <c r="A7" s="3" t="inlineStr">
        <is>
          <t>Normalized EBITDA</t>
        </is>
      </c>
      <c r="C7" s="25" t="n">
        <v>11525</v>
      </c>
      <c r="D7" s="25" t="n">
        <v>9700</v>
      </c>
      <c r="E7" s="25" t="n">
        <v>12528</v>
      </c>
      <c r="F7" s="25" t="n">
        <v>14946</v>
      </c>
    </row>
    <row r="8">
      <c r="A8" s="3" t="inlineStr">
        <is>
          <t>Total Unusual Items</t>
        </is>
      </c>
      <c r="B8" s="25" t="n">
        <v>-649</v>
      </c>
      <c r="C8" s="25" t="n">
        <v>0</v>
      </c>
      <c r="D8" s="25" t="n">
        <v>0</v>
      </c>
    </row>
    <row r="9">
      <c r="A9" s="3" t="inlineStr">
        <is>
          <t>Total Unusual Items Excluding Goodwill</t>
        </is>
      </c>
      <c r="B9" s="25" t="n">
        <v>-649</v>
      </c>
      <c r="C9" s="25" t="n">
        <v>0</v>
      </c>
      <c r="D9" s="25" t="n">
        <v>0</v>
      </c>
    </row>
    <row r="10">
      <c r="A10" s="3" t="inlineStr">
        <is>
          <t>Net Income From Continuing Operation Net Minority Interest</t>
        </is>
      </c>
      <c r="C10" s="25" t="n">
        <v>5216</v>
      </c>
      <c r="D10" s="25" t="n">
        <v>3195</v>
      </c>
      <c r="E10" s="25" t="n">
        <v>4774</v>
      </c>
      <c r="F10" s="25" t="n">
        <v>6732</v>
      </c>
    </row>
    <row r="11">
      <c r="A11" s="3" t="inlineStr">
        <is>
          <t>Reconciled Depreciation</t>
        </is>
      </c>
      <c r="C11" s="25" t="n">
        <v>4108</v>
      </c>
      <c r="D11" s="25" t="n">
        <v>4211</v>
      </c>
      <c r="E11" s="25" t="n">
        <v>4364</v>
      </c>
      <c r="F11" s="25" t="n">
        <v>4378</v>
      </c>
    </row>
    <row r="12">
      <c r="A12" s="3" t="inlineStr">
        <is>
          <t>Reconciled Cost Of Revenue</t>
        </is>
      </c>
      <c r="C12" s="25" t="n">
        <v>53406</v>
      </c>
      <c r="D12" s="25" t="n">
        <v>56831</v>
      </c>
      <c r="E12" s="25" t="n">
        <v>65328</v>
      </c>
      <c r="F12" s="25" t="n">
        <v>70814</v>
      </c>
    </row>
    <row r="13">
      <c r="A13" s="3" t="inlineStr">
        <is>
          <t>EBITDA</t>
        </is>
      </c>
      <c r="C13" s="25" t="n">
        <v>11525</v>
      </c>
      <c r="D13" s="25" t="n">
        <v>9700</v>
      </c>
      <c r="E13" s="25" t="n">
        <v>12528</v>
      </c>
      <c r="F13" s="25" t="n">
        <v>14946</v>
      </c>
    </row>
    <row r="14">
      <c r="A14" s="3" t="inlineStr">
        <is>
          <t>EBIT</t>
        </is>
      </c>
      <c r="C14" s="25" t="n">
        <v>7417</v>
      </c>
      <c r="D14" s="25" t="n">
        <v>5489</v>
      </c>
      <c r="E14" s="25" t="n">
        <v>8164</v>
      </c>
      <c r="F14" s="25" t="n">
        <v>10568</v>
      </c>
    </row>
    <row r="15">
      <c r="A15" s="3" t="inlineStr">
        <is>
          <t>Net Interest Income</t>
        </is>
      </c>
      <c r="C15" s="25" t="n">
        <v>-1230</v>
      </c>
      <c r="D15" s="25" t="n">
        <v>-1553</v>
      </c>
      <c r="E15" s="25" t="n">
        <v>-1868</v>
      </c>
      <c r="F15" s="25" t="n">
        <v>-1737</v>
      </c>
    </row>
    <row r="16">
      <c r="A16" s="3" t="inlineStr">
        <is>
          <t>Interest Expense</t>
        </is>
      </c>
      <c r="C16" s="25" t="n">
        <v>1300</v>
      </c>
      <c r="D16" s="25" t="n">
        <v>1653</v>
      </c>
      <c r="E16" s="25" t="n">
        <v>1970</v>
      </c>
      <c r="F16" s="25" t="n">
        <v>1835</v>
      </c>
    </row>
    <row r="17">
      <c r="A17" s="3" t="inlineStr">
        <is>
          <t>Interest Income</t>
        </is>
      </c>
      <c r="C17" s="25" t="n">
        <v>70</v>
      </c>
      <c r="D17" s="25" t="n">
        <v>100</v>
      </c>
      <c r="E17" s="25" t="n">
        <v>102</v>
      </c>
      <c r="F17" s="25" t="n">
        <v>98</v>
      </c>
    </row>
    <row r="18">
      <c r="A18" s="3" t="inlineStr">
        <is>
          <t>Normalized Income</t>
        </is>
      </c>
      <c r="C18" s="25" t="n">
        <v>5216</v>
      </c>
      <c r="D18" s="25" t="n">
        <v>3195</v>
      </c>
      <c r="E18" s="25" t="n">
        <v>4774</v>
      </c>
      <c r="F18" s="25" t="n">
        <v>6732</v>
      </c>
    </row>
    <row r="19">
      <c r="A19" s="3" t="inlineStr">
        <is>
          <t>Net Income From Continuing And Discontinued Operation</t>
        </is>
      </c>
      <c r="C19" s="25" t="n">
        <v>5197</v>
      </c>
      <c r="D19" s="25" t="n">
        <v>3195</v>
      </c>
      <c r="E19" s="25" t="n">
        <v>4774</v>
      </c>
      <c r="F19" s="25" t="n">
        <v>6732</v>
      </c>
    </row>
    <row r="20">
      <c r="A20" s="3" t="inlineStr">
        <is>
          <t>Total Expenses</t>
        </is>
      </c>
      <c r="C20" s="25" t="n">
        <v>61570</v>
      </c>
      <c r="D20" s="25" t="n">
        <v>65359</v>
      </c>
      <c r="E20" s="25" t="n">
        <v>74200</v>
      </c>
      <c r="F20" s="25" t="n">
        <v>79303</v>
      </c>
    </row>
    <row r="21">
      <c r="A21" s="3" t="inlineStr">
        <is>
          <t>Total Operating Income As Reported</t>
        </is>
      </c>
      <c r="C21" s="25" t="n">
        <v>5504</v>
      </c>
      <c r="D21" s="25" t="n">
        <v>3561</v>
      </c>
      <c r="E21" s="25" t="n">
        <v>6538</v>
      </c>
      <c r="F21" s="25" t="n">
        <v>9300</v>
      </c>
    </row>
    <row r="22">
      <c r="A22" s="3" t="inlineStr">
        <is>
          <t>Diluted Average Shares</t>
        </is>
      </c>
      <c r="C22" s="25" t="n">
        <v>1485.9</v>
      </c>
      <c r="D22" s="25" t="n">
        <v>1435.4</v>
      </c>
      <c r="E22" s="25" t="n">
        <v>1343.6</v>
      </c>
      <c r="F22" s="25" t="n">
        <v>1356.4</v>
      </c>
    </row>
    <row r="23">
      <c r="A23" s="3" t="inlineStr">
        <is>
          <t>Basic Average Shares</t>
        </is>
      </c>
      <c r="C23" s="25" t="n">
        <v>1475.5</v>
      </c>
      <c r="D23" s="25" t="n">
        <v>1426</v>
      </c>
      <c r="E23" s="25" t="n">
        <v>1332.1</v>
      </c>
      <c r="F23" s="25" t="n">
        <v>1341.4</v>
      </c>
    </row>
    <row r="24">
      <c r="A24" s="3" t="inlineStr">
        <is>
          <t>Diluted EPS</t>
        </is>
      </c>
      <c r="C24" s="25" t="n">
        <v>3.5e-06</v>
      </c>
      <c r="D24" s="25" t="n">
        <v>2.23e-06</v>
      </c>
      <c r="E24" s="25" t="n">
        <v>3.55e-06</v>
      </c>
      <c r="F24" s="25" t="n">
        <v>4.96e-06</v>
      </c>
    </row>
    <row r="25">
      <c r="A25" s="3" t="inlineStr">
        <is>
          <t>Basic EPS</t>
        </is>
      </c>
      <c r="C25" s="25" t="n">
        <v>3.52e-06</v>
      </c>
      <c r="D25" s="25" t="n">
        <v>2.24e-06</v>
      </c>
      <c r="E25" s="25" t="n">
        <v>3.58e-06</v>
      </c>
      <c r="F25" s="25" t="n">
        <v>5.019999999999999e-06</v>
      </c>
    </row>
    <row r="26">
      <c r="A26" s="3" t="inlineStr">
        <is>
          <t>Diluted NI Availto Com Stockholders</t>
        </is>
      </c>
      <c r="C26" s="25" t="n">
        <v>5197</v>
      </c>
      <c r="D26" s="25" t="n">
        <v>3195</v>
      </c>
      <c r="E26" s="25" t="n">
        <v>4774</v>
      </c>
      <c r="F26" s="25" t="n">
        <v>6732</v>
      </c>
    </row>
    <row r="27">
      <c r="A27" s="3" t="inlineStr">
        <is>
          <t>Net Income Common Stockholders</t>
        </is>
      </c>
      <c r="C27" s="25" t="n">
        <v>5197</v>
      </c>
      <c r="D27" s="25" t="n">
        <v>3195</v>
      </c>
      <c r="E27" s="25" t="n">
        <v>4774</v>
      </c>
      <c r="F27" s="25" t="n">
        <v>6732</v>
      </c>
    </row>
    <row r="28">
      <c r="A28" s="3" t="inlineStr">
        <is>
          <t>Net Income</t>
        </is>
      </c>
      <c r="C28" s="25" t="n">
        <v>5197</v>
      </c>
      <c r="D28" s="25" t="n">
        <v>3195</v>
      </c>
      <c r="E28" s="25" t="n">
        <v>4774</v>
      </c>
      <c r="F28" s="25" t="n">
        <v>6732</v>
      </c>
    </row>
    <row r="29">
      <c r="A29" s="3" t="inlineStr">
        <is>
          <t>Minority Interests</t>
        </is>
      </c>
      <c r="C29" s="25" t="n">
        <v>-111</v>
      </c>
      <c r="D29" s="25" t="n">
        <v>-185</v>
      </c>
      <c r="E29" s="25" t="n">
        <v>-239</v>
      </c>
      <c r="F29" s="25" t="n">
        <v>-337</v>
      </c>
    </row>
    <row r="30">
      <c r="A30" s="3" t="inlineStr">
        <is>
          <t>Net Income Including Noncontrolling Interests</t>
        </is>
      </c>
      <c r="C30" s="25" t="n">
        <v>5308</v>
      </c>
      <c r="D30" s="25" t="n">
        <v>3380</v>
      </c>
      <c r="E30" s="25" t="n">
        <v>5013</v>
      </c>
      <c r="F30" s="25" t="n">
        <v>7069</v>
      </c>
    </row>
    <row r="31">
      <c r="A31" s="3" t="inlineStr">
        <is>
          <t>Net Income Discontinuous Operations</t>
        </is>
      </c>
      <c r="B31" s="25" t="n">
        <v>-33</v>
      </c>
      <c r="C31" s="25" t="n">
        <v>-19</v>
      </c>
      <c r="D31" s="25" t="n">
        <v>0</v>
      </c>
      <c r="E31" s="25" t="n">
        <v>0</v>
      </c>
    </row>
    <row r="32">
      <c r="A32" s="3" t="inlineStr">
        <is>
          <t>Net Income Continuous Operations</t>
        </is>
      </c>
      <c r="C32" s="25" t="n">
        <v>5327</v>
      </c>
      <c r="D32" s="25" t="n">
        <v>3380</v>
      </c>
      <c r="E32" s="25" t="n">
        <v>5013</v>
      </c>
      <c r="F32" s="25" t="n">
        <v>7069</v>
      </c>
    </row>
    <row r="33">
      <c r="A33" s="3" t="inlineStr">
        <is>
          <t>Tax Provision</t>
        </is>
      </c>
      <c r="C33" s="25" t="n">
        <v>790</v>
      </c>
      <c r="D33" s="25" t="n">
        <v>456</v>
      </c>
      <c r="E33" s="25" t="n">
        <v>1181</v>
      </c>
      <c r="F33" s="25" t="n">
        <v>1664</v>
      </c>
    </row>
    <row r="34">
      <c r="A34" s="3" t="inlineStr">
        <is>
          <t>Pretax Income</t>
        </is>
      </c>
      <c r="C34" s="25" t="n">
        <v>6117</v>
      </c>
      <c r="D34" s="25" t="n">
        <v>3836</v>
      </c>
      <c r="E34" s="25" t="n">
        <v>6194</v>
      </c>
      <c r="F34" s="25" t="n">
        <v>8733</v>
      </c>
    </row>
    <row r="35">
      <c r="A35" s="3" t="inlineStr">
        <is>
          <t>Other Income Expense</t>
        </is>
      </c>
      <c r="C35" s="25" t="n">
        <v>1843</v>
      </c>
      <c r="D35" s="25" t="n">
        <v>1828</v>
      </c>
      <c r="E35" s="25" t="n">
        <v>1524</v>
      </c>
      <c r="F35" s="25" t="n">
        <v>1170</v>
      </c>
    </row>
    <row r="36">
      <c r="A36" s="3" t="inlineStr">
        <is>
          <t>Other Non Operating Income Expenses</t>
        </is>
      </c>
      <c r="C36" s="25" t="n">
        <v>1843</v>
      </c>
      <c r="D36" s="25" t="n">
        <v>1828</v>
      </c>
      <c r="E36" s="25" t="n">
        <v>1524</v>
      </c>
      <c r="F36" s="25" t="n">
        <v>1170</v>
      </c>
    </row>
    <row r="37">
      <c r="A37" s="3" t="inlineStr">
        <is>
          <t>Special Income Charges</t>
        </is>
      </c>
      <c r="B37" s="25" t="n">
        <v>-649</v>
      </c>
      <c r="C37" s="25" t="n">
        <v>0</v>
      </c>
      <c r="D37" s="25" t="n">
        <v>0</v>
      </c>
    </row>
    <row r="38">
      <c r="A38" s="3" t="inlineStr">
        <is>
          <t>Other Special Charges</t>
        </is>
      </c>
      <c r="B38" s="25" t="n">
        <v>649</v>
      </c>
    </row>
    <row r="39">
      <c r="A39" s="3" t="inlineStr">
        <is>
          <t>Impairment Of Capital Assets</t>
        </is>
      </c>
      <c r="B39" s="25" t="n">
        <v>0</v>
      </c>
      <c r="C39" s="25" t="n">
        <v>0</v>
      </c>
    </row>
    <row r="40">
      <c r="A40" s="3" t="inlineStr">
        <is>
          <t>Net Non Operating Interest Income Expense</t>
        </is>
      </c>
      <c r="C40" s="25" t="n">
        <v>-1230</v>
      </c>
      <c r="D40" s="25" t="n">
        <v>-1553</v>
      </c>
      <c r="E40" s="25" t="n">
        <v>-1868</v>
      </c>
      <c r="F40" s="25" t="n">
        <v>-1737</v>
      </c>
    </row>
    <row r="41">
      <c r="A41" s="3" t="inlineStr">
        <is>
          <t>Interest Expense Non Operating</t>
        </is>
      </c>
      <c r="C41" s="25" t="n">
        <v>1300</v>
      </c>
      <c r="D41" s="25" t="n">
        <v>1653</v>
      </c>
      <c r="E41" s="25" t="n">
        <v>1970</v>
      </c>
      <c r="F41" s="25" t="n">
        <v>1835</v>
      </c>
    </row>
    <row r="42">
      <c r="A42" s="3" t="inlineStr">
        <is>
          <t>Interest Income Non Operating</t>
        </is>
      </c>
      <c r="C42" s="25" t="n">
        <v>70</v>
      </c>
      <c r="D42" s="25" t="n">
        <v>100</v>
      </c>
      <c r="E42" s="25" t="n">
        <v>102</v>
      </c>
      <c r="F42" s="25" t="n">
        <v>98</v>
      </c>
    </row>
    <row r="43">
      <c r="A43" s="3" t="inlineStr">
        <is>
          <t>Operating Income</t>
        </is>
      </c>
      <c r="C43" s="25" t="n">
        <v>5504</v>
      </c>
      <c r="D43" s="25" t="n">
        <v>3561</v>
      </c>
      <c r="E43" s="25" t="n">
        <v>6538</v>
      </c>
      <c r="F43" s="25" t="n">
        <v>9300</v>
      </c>
    </row>
    <row r="44">
      <c r="A44" s="3" t="inlineStr">
        <is>
          <t>Operating Expense</t>
        </is>
      </c>
      <c r="C44" s="25" t="n">
        <v>8164</v>
      </c>
      <c r="D44" s="25" t="n">
        <v>8528</v>
      </c>
      <c r="E44" s="25" t="n">
        <v>8872</v>
      </c>
      <c r="F44" s="25" t="n">
        <v>8489</v>
      </c>
    </row>
    <row r="45">
      <c r="A45" s="3" t="inlineStr">
        <is>
          <t>Other Operating Expenses</t>
        </is>
      </c>
      <c r="C45" s="25" t="n">
        <v>-120</v>
      </c>
      <c r="D45" s="25" t="n">
        <v>-86</v>
      </c>
      <c r="E45" s="25" t="n">
        <v>132</v>
      </c>
      <c r="F45" s="25" t="n">
        <v>-413</v>
      </c>
    </row>
    <row r="46">
      <c r="A46" s="3" t="inlineStr">
        <is>
          <t>Research And Development</t>
        </is>
      </c>
      <c r="C46" s="25" t="n">
        <v>2711</v>
      </c>
      <c r="D46" s="25" t="n">
        <v>2805</v>
      </c>
      <c r="E46" s="25" t="n">
        <v>2934</v>
      </c>
      <c r="F46" s="25" t="n">
        <v>2807</v>
      </c>
    </row>
    <row r="47">
      <c r="A47" s="3" t="inlineStr">
        <is>
          <t>Selling General And Administration</t>
        </is>
      </c>
      <c r="C47" s="25" t="n">
        <v>5573</v>
      </c>
      <c r="D47" s="25" t="n">
        <v>5809</v>
      </c>
      <c r="E47" s="25" t="n">
        <v>5806</v>
      </c>
      <c r="F47" s="25" t="n">
        <v>6095</v>
      </c>
    </row>
    <row r="48">
      <c r="A48" s="3" t="inlineStr">
        <is>
          <t>General And Administrative Expense</t>
        </is>
      </c>
      <c r="B48" s="25" t="n">
        <v>3102</v>
      </c>
      <c r="C48" s="25" t="n">
        <v>3684</v>
      </c>
      <c r="D48" s="25" t="n">
        <v>4029</v>
      </c>
    </row>
    <row r="49">
      <c r="A49" s="3" t="inlineStr">
        <is>
          <t>Other Gand A</t>
        </is>
      </c>
      <c r="B49" s="25" t="n">
        <v>5046</v>
      </c>
      <c r="C49" s="25" t="n">
        <v>5573</v>
      </c>
      <c r="D49" s="25" t="n">
        <v>5809</v>
      </c>
    </row>
    <row r="50">
      <c r="A50" s="3" t="inlineStr">
        <is>
          <t>Salaries And Wages</t>
        </is>
      </c>
      <c r="B50" s="25" t="n">
        <v>-1944</v>
      </c>
      <c r="C50" s="25" t="n">
        <v>-1889</v>
      </c>
      <c r="D50" s="25" t="n">
        <v>-1780</v>
      </c>
    </row>
    <row r="51">
      <c r="A51" s="3" t="inlineStr">
        <is>
          <t>Gross Profit</t>
        </is>
      </c>
      <c r="C51" s="25" t="n">
        <v>13668</v>
      </c>
      <c r="D51" s="25" t="n">
        <v>12089</v>
      </c>
      <c r="E51" s="25" t="n">
        <v>15410</v>
      </c>
      <c r="F51" s="25" t="n">
        <v>17789</v>
      </c>
    </row>
    <row r="52">
      <c r="A52" s="3" t="inlineStr">
        <is>
          <t>Cost Of Revenue</t>
        </is>
      </c>
      <c r="C52" s="25" t="n">
        <v>53406</v>
      </c>
      <c r="D52" s="25" t="n">
        <v>56831</v>
      </c>
      <c r="E52" s="25" t="n">
        <v>65328</v>
      </c>
      <c r="F52" s="25" t="n">
        <v>70814</v>
      </c>
    </row>
    <row r="53">
      <c r="A53" s="3" t="inlineStr">
        <is>
          <t>Total Revenue</t>
        </is>
      </c>
      <c r="C53" s="25" t="n">
        <v>67074</v>
      </c>
      <c r="D53" s="25" t="n">
        <v>68920</v>
      </c>
      <c r="E53" s="25" t="n">
        <v>80738</v>
      </c>
      <c r="F53" s="25" t="n">
        <v>88603</v>
      </c>
    </row>
    <row r="54">
      <c r="A54" s="3" t="inlineStr">
        <is>
          <t>Operating Revenue</t>
        </is>
      </c>
      <c r="C54" s="25" t="n">
        <v>67074</v>
      </c>
      <c r="D54" s="25" t="n">
        <v>68920</v>
      </c>
      <c r="E54" s="25" t="n">
        <v>80738</v>
      </c>
      <c r="F54" s="25" t="n">
        <v>88603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RTX — BS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C5" s="25" t="n">
        <v>244.72</v>
      </c>
      <c r="D5" s="25" t="n">
        <v>385.81</v>
      </c>
      <c r="E5" s="25" t="n">
        <v>386.633</v>
      </c>
      <c r="F5" s="25" t="n">
        <v>383.025</v>
      </c>
    </row>
    <row r="6">
      <c r="A6" s="3" t="inlineStr">
        <is>
          <t>Ordinary Shares Number</t>
        </is>
      </c>
      <c r="C6" s="25" t="n">
        <v>1466.24</v>
      </c>
      <c r="D6" s="25" t="n">
        <v>1326.907</v>
      </c>
      <c r="E6" s="25" t="n">
        <v>1332.122758</v>
      </c>
      <c r="F6" s="25" t="n">
        <v>1342.287676</v>
      </c>
    </row>
    <row r="7">
      <c r="A7" s="3" t="inlineStr">
        <is>
          <t>Share Issued</t>
        </is>
      </c>
      <c r="C7" s="25" t="n">
        <v>1710.96</v>
      </c>
      <c r="D7" s="25" t="n">
        <v>1712.717</v>
      </c>
      <c r="E7" s="25" t="n">
        <v>1718.755758</v>
      </c>
      <c r="F7" s="25" t="n">
        <v>1725.312676</v>
      </c>
    </row>
    <row r="8">
      <c r="A8" s="3" t="inlineStr">
        <is>
          <t>Net Debt</t>
        </is>
      </c>
      <c r="C8" s="25" t="n">
        <v>25694</v>
      </c>
      <c r="D8" s="25" t="n">
        <v>37240</v>
      </c>
      <c r="E8" s="25" t="n">
        <v>35683</v>
      </c>
      <c r="F8" s="25" t="n">
        <v>30469</v>
      </c>
    </row>
    <row r="9">
      <c r="A9" s="3" t="inlineStr">
        <is>
          <t>Total Debt</t>
        </is>
      </c>
      <c r="C9" s="25" t="n">
        <v>33500</v>
      </c>
      <c r="D9" s="25" t="n">
        <v>45239</v>
      </c>
      <c r="E9" s="25" t="n">
        <v>42893</v>
      </c>
      <c r="F9" s="25" t="n">
        <v>39506</v>
      </c>
    </row>
    <row r="10">
      <c r="A10" s="3" t="inlineStr">
        <is>
          <t>Tangible Book Value</t>
        </is>
      </c>
      <c r="C10" s="25" t="n">
        <v>-18031</v>
      </c>
      <c r="D10" s="25" t="n">
        <v>-29300</v>
      </c>
      <c r="E10" s="25" t="n">
        <v>-26076</v>
      </c>
      <c r="F10" s="25" t="n">
        <v>-19943</v>
      </c>
    </row>
    <row r="11">
      <c r="A11" s="3" t="inlineStr">
        <is>
          <t>Invested Capital</t>
        </is>
      </c>
      <c r="C11" s="25" t="n">
        <v>104546</v>
      </c>
      <c r="D11" s="25" t="n">
        <v>103625</v>
      </c>
      <c r="E11" s="25" t="n">
        <v>101417</v>
      </c>
      <c r="F11" s="25" t="n">
        <v>103149</v>
      </c>
    </row>
    <row r="12">
      <c r="A12" s="3" t="inlineStr">
        <is>
          <t>Working Capital</t>
        </is>
      </c>
      <c r="C12" s="25" t="n">
        <v>3329</v>
      </c>
      <c r="D12" s="25" t="n">
        <v>1656</v>
      </c>
      <c r="E12" s="25" t="n">
        <v>-366</v>
      </c>
      <c r="F12" s="25" t="n">
        <v>1548</v>
      </c>
    </row>
    <row r="13">
      <c r="A13" s="3" t="inlineStr">
        <is>
          <t>Net Tangible Assets</t>
        </is>
      </c>
      <c r="C13" s="25" t="n">
        <v>-18031</v>
      </c>
      <c r="D13" s="25" t="n">
        <v>-29300</v>
      </c>
      <c r="E13" s="25" t="n">
        <v>-26076</v>
      </c>
      <c r="F13" s="25" t="n">
        <v>-19943</v>
      </c>
    </row>
    <row r="14">
      <c r="A14" s="3" t="inlineStr">
        <is>
          <t>Capital Lease Obligations</t>
        </is>
      </c>
      <c r="C14" s="25" t="n">
        <v>1586</v>
      </c>
      <c r="D14" s="25" t="n">
        <v>1412</v>
      </c>
      <c r="E14" s="25" t="n">
        <v>1632</v>
      </c>
      <c r="F14" s="25" t="n">
        <v>1602</v>
      </c>
    </row>
    <row r="15">
      <c r="A15" s="3" t="inlineStr">
        <is>
          <t>Common Stock Equity</t>
        </is>
      </c>
      <c r="C15" s="25" t="n">
        <v>72632</v>
      </c>
      <c r="D15" s="25" t="n">
        <v>59798</v>
      </c>
      <c r="E15" s="25" t="n">
        <v>60156</v>
      </c>
      <c r="F15" s="25" t="n">
        <v>65245</v>
      </c>
    </row>
    <row r="16">
      <c r="A16" s="3" t="inlineStr">
        <is>
          <t>Total Capitalization</t>
        </is>
      </c>
      <c r="C16" s="25" t="n">
        <v>103326</v>
      </c>
      <c r="D16" s="25" t="n">
        <v>102153</v>
      </c>
      <c r="E16" s="25" t="n">
        <v>98882</v>
      </c>
      <c r="F16" s="25" t="n">
        <v>99533</v>
      </c>
    </row>
    <row r="17">
      <c r="A17" s="3" t="inlineStr">
        <is>
          <t>Total Equity Gross Minority Interest</t>
        </is>
      </c>
      <c r="C17" s="25" t="n">
        <v>74214</v>
      </c>
      <c r="D17" s="25" t="n">
        <v>61445</v>
      </c>
      <c r="E17" s="25" t="n">
        <v>61958</v>
      </c>
      <c r="F17" s="25" t="n">
        <v>67138</v>
      </c>
    </row>
    <row r="18">
      <c r="A18" s="3" t="inlineStr">
        <is>
          <t>Minority Interest</t>
        </is>
      </c>
      <c r="C18" s="25" t="n">
        <v>1582</v>
      </c>
      <c r="D18" s="25" t="n">
        <v>1647</v>
      </c>
      <c r="E18" s="25" t="n">
        <v>1802</v>
      </c>
      <c r="F18" s="25" t="n">
        <v>1893</v>
      </c>
    </row>
    <row r="19">
      <c r="A19" s="3" t="inlineStr">
        <is>
          <t>Stockholders Equity</t>
        </is>
      </c>
      <c r="C19" s="25" t="n">
        <v>72632</v>
      </c>
      <c r="D19" s="25" t="n">
        <v>59798</v>
      </c>
      <c r="E19" s="25" t="n">
        <v>60156</v>
      </c>
      <c r="F19" s="25" t="n">
        <v>65245</v>
      </c>
    </row>
    <row r="20">
      <c r="A20" s="3" t="inlineStr">
        <is>
          <t>Other Equity Interest</t>
        </is>
      </c>
      <c r="B20" s="25" t="n">
        <v>-38</v>
      </c>
      <c r="C20" s="25" t="n">
        <v>-28</v>
      </c>
      <c r="D20" s="25" t="n">
        <v>-15</v>
      </c>
    </row>
    <row r="21">
      <c r="A21" s="3" t="inlineStr">
        <is>
          <t>Gains Losses Not Affecting Retained Earnings</t>
        </is>
      </c>
      <c r="C21" s="25" t="n">
        <v>-2018</v>
      </c>
      <c r="D21" s="25" t="n">
        <v>-2419</v>
      </c>
      <c r="E21" s="25" t="n">
        <v>-3755</v>
      </c>
      <c r="F21" s="25" t="n">
        <v>-2718</v>
      </c>
    </row>
    <row r="22">
      <c r="A22" s="3" t="inlineStr">
        <is>
          <t>Other Equity Adjustments</t>
        </is>
      </c>
      <c r="C22" s="25" t="n">
        <v>-2018</v>
      </c>
      <c r="D22" s="25" t="n">
        <v>-2419</v>
      </c>
      <c r="E22" s="25" t="n">
        <v>-3755</v>
      </c>
      <c r="F22" s="25" t="n">
        <v>-2718</v>
      </c>
    </row>
    <row r="23">
      <c r="A23" s="3" t="inlineStr">
        <is>
          <t>Treasury Stock</t>
        </is>
      </c>
      <c r="C23" s="25" t="n">
        <v>15530</v>
      </c>
      <c r="D23" s="25" t="n">
        <v>26977</v>
      </c>
      <c r="E23" s="25" t="n">
        <v>27112</v>
      </c>
      <c r="F23" s="25" t="n">
        <v>26881</v>
      </c>
    </row>
    <row r="24">
      <c r="A24" s="3" t="inlineStr">
        <is>
          <t>Retained Earnings</t>
        </is>
      </c>
      <c r="C24" s="25" t="n">
        <v>52269</v>
      </c>
      <c r="D24" s="25" t="n">
        <v>52154</v>
      </c>
      <c r="E24" s="25" t="n">
        <v>53589</v>
      </c>
      <c r="F24" s="25" t="n">
        <v>56718</v>
      </c>
    </row>
    <row r="25">
      <c r="A25" s="3" t="inlineStr">
        <is>
          <t>Capital Stock</t>
        </is>
      </c>
      <c r="C25" s="25" t="n">
        <v>37939</v>
      </c>
      <c r="D25" s="25" t="n">
        <v>37055</v>
      </c>
      <c r="E25" s="25" t="n">
        <v>37434</v>
      </c>
      <c r="F25" s="25" t="n">
        <v>38126</v>
      </c>
    </row>
    <row r="26">
      <c r="A26" s="3" t="inlineStr">
        <is>
          <t>Common Stock</t>
        </is>
      </c>
      <c r="C26" s="25" t="n">
        <v>37939</v>
      </c>
      <c r="D26" s="25" t="n">
        <v>37055</v>
      </c>
      <c r="E26" s="25" t="n">
        <v>37434</v>
      </c>
      <c r="F26" s="25" t="n">
        <v>38126</v>
      </c>
    </row>
    <row r="27">
      <c r="A27" s="3" t="inlineStr">
        <is>
          <t>Preferred Stock</t>
        </is>
      </c>
      <c r="C27" s="25" t="n">
        <v>0</v>
      </c>
      <c r="D27" s="25" t="n">
        <v>0</v>
      </c>
      <c r="E27" s="25" t="n">
        <v>0</v>
      </c>
      <c r="F27" s="25" t="n">
        <v>0</v>
      </c>
    </row>
    <row r="28">
      <c r="A28" s="3" t="inlineStr">
        <is>
          <t>Total Liabilities Net Minority Interest</t>
        </is>
      </c>
      <c r="C28" s="25" t="n">
        <v>84650</v>
      </c>
      <c r="D28" s="25" t="n">
        <v>100424</v>
      </c>
      <c r="E28" s="25" t="n">
        <v>100903</v>
      </c>
      <c r="F28" s="25" t="n">
        <v>103941</v>
      </c>
    </row>
    <row r="29">
      <c r="A29" s="3" t="inlineStr">
        <is>
          <t>Total Non Current Liabilities Net Minority Interest</t>
        </is>
      </c>
      <c r="C29" s="25" t="n">
        <v>45536</v>
      </c>
      <c r="D29" s="25" t="n">
        <v>53663</v>
      </c>
      <c r="E29" s="25" t="n">
        <v>49404</v>
      </c>
      <c r="F29" s="25" t="n">
        <v>45157</v>
      </c>
    </row>
    <row r="30">
      <c r="A30" s="3" t="inlineStr">
        <is>
          <t>Other Non Current Liabilities</t>
        </is>
      </c>
      <c r="C30" s="25" t="n">
        <v>8449</v>
      </c>
      <c r="D30" s="25" t="n">
        <v>7511</v>
      </c>
      <c r="E30" s="25" t="n">
        <v>6942</v>
      </c>
      <c r="F30" s="25" t="n">
        <v>7200</v>
      </c>
    </row>
    <row r="31">
      <c r="A31" s="3" t="inlineStr">
        <is>
          <t>Employee Benefits</t>
        </is>
      </c>
      <c r="C31" s="25" t="n">
        <v>4807</v>
      </c>
      <c r="D31" s="25" t="n">
        <v>2385</v>
      </c>
      <c r="E31" s="25" t="n">
        <v>2104</v>
      </c>
      <c r="F31" s="25" t="n">
        <v>2067</v>
      </c>
    </row>
    <row r="32">
      <c r="A32" s="3" t="inlineStr">
        <is>
          <t>Non Current Pension And Other Postretirement Benefit Plans</t>
        </is>
      </c>
      <c r="C32" s="25" t="n">
        <v>4807</v>
      </c>
      <c r="D32" s="25" t="n">
        <v>2385</v>
      </c>
      <c r="E32" s="25" t="n">
        <v>2104</v>
      </c>
      <c r="F32" s="25" t="n">
        <v>2067</v>
      </c>
    </row>
    <row r="33">
      <c r="A33" s="3" t="inlineStr">
        <is>
          <t>Long Term Debt And Capital Lease Obligation</t>
        </is>
      </c>
      <c r="C33" s="25" t="n">
        <v>32280</v>
      </c>
      <c r="D33" s="25" t="n">
        <v>43767</v>
      </c>
      <c r="E33" s="25" t="n">
        <v>40358</v>
      </c>
      <c r="F33" s="25" t="n">
        <v>35890</v>
      </c>
    </row>
    <row r="34">
      <c r="A34" s="3" t="inlineStr">
        <is>
          <t>Long Term Capital Lease Obligation</t>
        </is>
      </c>
      <c r="C34" s="25" t="n">
        <v>1586</v>
      </c>
      <c r="D34" s="25" t="n">
        <v>1412</v>
      </c>
      <c r="E34" s="25" t="n">
        <v>1632</v>
      </c>
      <c r="F34" s="25" t="n">
        <v>1602</v>
      </c>
    </row>
    <row r="35">
      <c r="A35" s="3" t="inlineStr">
        <is>
          <t>Long Term Debt</t>
        </is>
      </c>
      <c r="C35" s="25" t="n">
        <v>30694</v>
      </c>
      <c r="D35" s="25" t="n">
        <v>42355</v>
      </c>
      <c r="E35" s="25" t="n">
        <v>38726</v>
      </c>
      <c r="F35" s="25" t="n">
        <v>34288</v>
      </c>
    </row>
    <row r="36">
      <c r="A36" s="3" t="inlineStr">
        <is>
          <t>Current Liabilities</t>
        </is>
      </c>
      <c r="C36" s="25" t="n">
        <v>39114</v>
      </c>
      <c r="D36" s="25" t="n">
        <v>46761</v>
      </c>
      <c r="E36" s="25" t="n">
        <v>51499</v>
      </c>
      <c r="F36" s="25" t="n">
        <v>58784</v>
      </c>
    </row>
    <row r="37">
      <c r="A37" s="3" t="inlineStr">
        <is>
          <t>Current Deferred Liabilities</t>
        </is>
      </c>
      <c r="C37" s="25" t="n">
        <v>14598</v>
      </c>
      <c r="D37" s="25" t="n">
        <v>17183</v>
      </c>
      <c r="E37" s="25" t="n">
        <v>18616</v>
      </c>
      <c r="F37" s="25" t="n">
        <v>21615</v>
      </c>
    </row>
    <row r="38">
      <c r="A38" s="3" t="inlineStr">
        <is>
          <t>Current Deferred Revenue</t>
        </is>
      </c>
      <c r="C38" s="25" t="n">
        <v>14598</v>
      </c>
      <c r="D38" s="25" t="n">
        <v>17183</v>
      </c>
      <c r="E38" s="25" t="n">
        <v>18616</v>
      </c>
      <c r="F38" s="25" t="n">
        <v>21615</v>
      </c>
    </row>
    <row r="39">
      <c r="A39" s="3" t="inlineStr">
        <is>
          <t>Current Debt And Capital Lease Obligation</t>
        </is>
      </c>
      <c r="C39" s="25" t="n">
        <v>1220</v>
      </c>
      <c r="D39" s="25" t="n">
        <v>1472</v>
      </c>
      <c r="E39" s="25" t="n">
        <v>2535</v>
      </c>
      <c r="F39" s="25" t="n">
        <v>3616</v>
      </c>
    </row>
    <row r="40">
      <c r="A40" s="3" t="inlineStr">
        <is>
          <t>Current Debt</t>
        </is>
      </c>
      <c r="C40" s="25" t="n">
        <v>1220</v>
      </c>
      <c r="D40" s="25" t="n">
        <v>1472</v>
      </c>
      <c r="E40" s="25" t="n">
        <v>2535</v>
      </c>
      <c r="F40" s="25" t="n">
        <v>3616</v>
      </c>
    </row>
    <row r="41">
      <c r="A41" s="3" t="inlineStr">
        <is>
          <t>Other Current Borrowings</t>
        </is>
      </c>
      <c r="B41" s="25" t="n">
        <v>158</v>
      </c>
      <c r="C41" s="25" t="n">
        <v>696</v>
      </c>
    </row>
    <row r="42">
      <c r="A42" s="3" t="inlineStr">
        <is>
          <t>Commercial Paper</t>
        </is>
      </c>
      <c r="B42" s="25" t="n">
        <v>0</v>
      </c>
      <c r="C42" s="25" t="n">
        <v>524</v>
      </c>
    </row>
    <row r="43">
      <c r="A43" s="3" t="inlineStr">
        <is>
          <t>Pensionand Other Post Retirement Benefit Plans Current</t>
        </is>
      </c>
      <c r="C43" s="25" t="n">
        <v>2401</v>
      </c>
      <c r="D43" s="25" t="n">
        <v>2491</v>
      </c>
      <c r="E43" s="25" t="n">
        <v>2620</v>
      </c>
      <c r="F43" s="25" t="n">
        <v>3308</v>
      </c>
    </row>
    <row r="44">
      <c r="A44" s="3" t="inlineStr">
        <is>
          <t>Payables And Accrued Expenses</t>
        </is>
      </c>
      <c r="C44" s="25" t="n">
        <v>20895</v>
      </c>
      <c r="D44" s="25" t="n">
        <v>25615</v>
      </c>
      <c r="E44" s="25" t="n">
        <v>27728</v>
      </c>
      <c r="F44" s="25" t="n">
        <v>30245</v>
      </c>
    </row>
    <row r="45">
      <c r="A45" s="3" t="inlineStr">
        <is>
          <t>Current Accrued Expenses</t>
        </is>
      </c>
      <c r="C45" s="25" t="n">
        <v>10999</v>
      </c>
      <c r="D45" s="25" t="n">
        <v>14917</v>
      </c>
      <c r="E45" s="25" t="n">
        <v>14831</v>
      </c>
      <c r="F45" s="25" t="n">
        <v>14350</v>
      </c>
    </row>
    <row r="46">
      <c r="A46" s="3" t="inlineStr">
        <is>
          <t>Payables</t>
        </is>
      </c>
      <c r="C46" s="25" t="n">
        <v>9896</v>
      </c>
      <c r="D46" s="25" t="n">
        <v>10698</v>
      </c>
      <c r="E46" s="25" t="n">
        <v>12897</v>
      </c>
      <c r="F46" s="25" t="n">
        <v>15895</v>
      </c>
    </row>
    <row r="47">
      <c r="A47" s="3" t="inlineStr">
        <is>
          <t>Accounts Payable</t>
        </is>
      </c>
      <c r="C47" s="25" t="n">
        <v>9896</v>
      </c>
      <c r="D47" s="25" t="n">
        <v>10698</v>
      </c>
      <c r="E47" s="25" t="n">
        <v>12897</v>
      </c>
      <c r="F47" s="25" t="n">
        <v>15895</v>
      </c>
    </row>
    <row r="48">
      <c r="A48" s="3" t="inlineStr">
        <is>
          <t>Total Assets</t>
        </is>
      </c>
      <c r="C48" s="25" t="n">
        <v>158864</v>
      </c>
      <c r="D48" s="25" t="n">
        <v>161869</v>
      </c>
      <c r="E48" s="25" t="n">
        <v>162861</v>
      </c>
      <c r="F48" s="25" t="n">
        <v>171079</v>
      </c>
    </row>
    <row r="49">
      <c r="A49" s="3" t="inlineStr">
        <is>
          <t>Total Non Current Assets</t>
        </is>
      </c>
      <c r="C49" s="25" t="n">
        <v>116421</v>
      </c>
      <c r="D49" s="25" t="n">
        <v>113452</v>
      </c>
      <c r="E49" s="25" t="n">
        <v>111728</v>
      </c>
      <c r="F49" s="25" t="n">
        <v>110747</v>
      </c>
    </row>
    <row r="50">
      <c r="A50" s="3" t="inlineStr">
        <is>
          <t>Other Non Current Assets</t>
        </is>
      </c>
      <c r="C50" s="25" t="n">
        <v>6156</v>
      </c>
      <c r="D50" s="25" t="n">
        <v>4576</v>
      </c>
      <c r="E50" s="25" t="n">
        <v>5297</v>
      </c>
      <c r="F50" s="25" t="n">
        <v>4672</v>
      </c>
    </row>
    <row r="51">
      <c r="A51" s="3" t="inlineStr">
        <is>
          <t>Investments And Advances</t>
        </is>
      </c>
      <c r="C51" s="25" t="n">
        <v>2603</v>
      </c>
      <c r="D51" s="25" t="n">
        <v>2392</v>
      </c>
      <c r="E51" s="25" t="n">
        <v>2246</v>
      </c>
      <c r="F51" s="25" t="n">
        <v>2132</v>
      </c>
    </row>
    <row r="52">
      <c r="A52" s="3" t="inlineStr">
        <is>
          <t>Investmentin Financial Assets</t>
        </is>
      </c>
      <c r="C52" s="25" t="n">
        <v>2603</v>
      </c>
      <c r="D52" s="25" t="n">
        <v>2392</v>
      </c>
      <c r="E52" s="25" t="n">
        <v>2246</v>
      </c>
      <c r="F52" s="25" t="n">
        <v>2132</v>
      </c>
    </row>
    <row r="53">
      <c r="A53" s="3" t="inlineStr">
        <is>
          <t>Available For Sale Securities</t>
        </is>
      </c>
      <c r="C53" s="25" t="n">
        <v>2603</v>
      </c>
      <c r="D53" s="25" t="n">
        <v>2392</v>
      </c>
      <c r="E53" s="25" t="n">
        <v>2246</v>
      </c>
      <c r="F53" s="25" t="n">
        <v>2132</v>
      </c>
    </row>
    <row r="54">
      <c r="A54" s="3" t="inlineStr">
        <is>
          <t>Goodwill And Other Intangible Assets</t>
        </is>
      </c>
      <c r="C54" s="25" t="n">
        <v>90663</v>
      </c>
      <c r="D54" s="25" t="n">
        <v>89098</v>
      </c>
      <c r="E54" s="25" t="n">
        <v>86232</v>
      </c>
      <c r="F54" s="25" t="n">
        <v>85188</v>
      </c>
    </row>
    <row r="55">
      <c r="A55" s="3" t="inlineStr">
        <is>
          <t>Other Intangible Assets</t>
        </is>
      </c>
      <c r="C55" s="25" t="n">
        <v>36823</v>
      </c>
      <c r="D55" s="25" t="n">
        <v>35399</v>
      </c>
      <c r="E55" s="25" t="n">
        <v>33443</v>
      </c>
      <c r="F55" s="25" t="n">
        <v>31845</v>
      </c>
    </row>
    <row r="56">
      <c r="A56" s="3" t="inlineStr">
        <is>
          <t>Goodwill</t>
        </is>
      </c>
      <c r="C56" s="25" t="n">
        <v>53840</v>
      </c>
      <c r="D56" s="25" t="n">
        <v>53699</v>
      </c>
      <c r="E56" s="25" t="n">
        <v>52789</v>
      </c>
      <c r="F56" s="25" t="n">
        <v>53343</v>
      </c>
    </row>
    <row r="57">
      <c r="A57" s="3" t="inlineStr">
        <is>
          <t>Net PPE</t>
        </is>
      </c>
      <c r="C57" s="25" t="n">
        <v>16999</v>
      </c>
      <c r="D57" s="25" t="n">
        <v>17386</v>
      </c>
      <c r="E57" s="25" t="n">
        <v>17953</v>
      </c>
      <c r="F57" s="25" t="n">
        <v>18755</v>
      </c>
    </row>
    <row r="58">
      <c r="A58" s="3" t="inlineStr">
        <is>
          <t>Accumulated Depreciation</t>
        </is>
      </c>
      <c r="C58" s="25" t="n">
        <v>-13946</v>
      </c>
      <c r="D58" s="25" t="n">
        <v>-15644</v>
      </c>
      <c r="E58" s="25" t="n">
        <v>-16694</v>
      </c>
      <c r="F58" s="25" t="n">
        <v>-18467</v>
      </c>
    </row>
    <row r="59">
      <c r="A59" s="3" t="inlineStr">
        <is>
          <t>Gross PPE</t>
        </is>
      </c>
      <c r="C59" s="25" t="n">
        <v>30945</v>
      </c>
      <c r="D59" s="25" t="n">
        <v>33030</v>
      </c>
      <c r="E59" s="25" t="n">
        <v>34647</v>
      </c>
      <c r="F59" s="25" t="n">
        <v>37222</v>
      </c>
    </row>
    <row r="60">
      <c r="A60" s="3" t="inlineStr">
        <is>
          <t>Construction In Progress</t>
        </is>
      </c>
      <c r="E60" s="25" t="n">
        <v>3735</v>
      </c>
      <c r="F60" s="25" t="n">
        <v>3865</v>
      </c>
    </row>
    <row r="61">
      <c r="A61" s="3" t="inlineStr">
        <is>
          <t>Other Properties</t>
        </is>
      </c>
      <c r="C61" s="25" t="n">
        <v>5203</v>
      </c>
      <c r="D61" s="25" t="n">
        <v>5232</v>
      </c>
      <c r="E61" s="25" t="n">
        <v>1864</v>
      </c>
      <c r="F61" s="25" t="n">
        <v>1887</v>
      </c>
    </row>
    <row r="62">
      <c r="A62" s="3" t="inlineStr">
        <is>
          <t>Machinery Furniture Equipment</t>
        </is>
      </c>
      <c r="C62" s="25" t="n">
        <v>17479</v>
      </c>
      <c r="D62" s="25" t="n">
        <v>18904</v>
      </c>
      <c r="E62" s="25" t="n">
        <v>19738</v>
      </c>
      <c r="F62" s="25" t="n">
        <v>21572</v>
      </c>
    </row>
    <row r="63">
      <c r="A63" s="3" t="inlineStr">
        <is>
          <t>Buildings And Improvements</t>
        </is>
      </c>
      <c r="C63" s="25" t="n">
        <v>7519</v>
      </c>
      <c r="D63" s="25" t="n">
        <v>8151</v>
      </c>
      <c r="E63" s="25" t="n">
        <v>8615</v>
      </c>
      <c r="F63" s="25" t="n">
        <v>9188</v>
      </c>
    </row>
    <row r="64">
      <c r="A64" s="3" t="inlineStr">
        <is>
          <t>Land And Improvements</t>
        </is>
      </c>
      <c r="C64" s="25" t="n">
        <v>744</v>
      </c>
      <c r="D64" s="25" t="n">
        <v>743</v>
      </c>
      <c r="E64" s="25" t="n">
        <v>695</v>
      </c>
      <c r="F64" s="25" t="n">
        <v>710</v>
      </c>
    </row>
    <row r="65">
      <c r="A65" s="3" t="inlineStr">
        <is>
          <t>Properties</t>
        </is>
      </c>
      <c r="C65" s="25" t="n">
        <v>0</v>
      </c>
      <c r="D65" s="25" t="n">
        <v>0</v>
      </c>
      <c r="E65" s="25" t="n">
        <v>0</v>
      </c>
      <c r="F65" s="25" t="n">
        <v>0</v>
      </c>
    </row>
    <row r="66">
      <c r="A66" s="3" t="inlineStr">
        <is>
          <t>Current Assets</t>
        </is>
      </c>
      <c r="C66" s="25" t="n">
        <v>42443</v>
      </c>
      <c r="D66" s="25" t="n">
        <v>48417</v>
      </c>
      <c r="E66" s="25" t="n">
        <v>51133</v>
      </c>
      <c r="F66" s="25" t="n">
        <v>60332</v>
      </c>
    </row>
    <row r="67">
      <c r="A67" s="3" t="inlineStr">
        <is>
          <t>Other Current Assets</t>
        </is>
      </c>
      <c r="C67" s="25" t="n">
        <v>4964</v>
      </c>
      <c r="D67" s="25" t="n">
        <v>7076</v>
      </c>
      <c r="E67" s="25" t="n">
        <v>7241</v>
      </c>
      <c r="F67" s="25" t="n">
        <v>7740</v>
      </c>
    </row>
    <row r="68">
      <c r="A68" s="3" t="inlineStr">
        <is>
          <t>Inventory</t>
        </is>
      </c>
      <c r="C68" s="25" t="n">
        <v>10617</v>
      </c>
      <c r="D68" s="25" t="n">
        <v>11777</v>
      </c>
      <c r="E68" s="25" t="n">
        <v>12768</v>
      </c>
      <c r="F68" s="25" t="n">
        <v>13364</v>
      </c>
    </row>
    <row r="69">
      <c r="A69" s="3" t="inlineStr">
        <is>
          <t>Finished Goods</t>
        </is>
      </c>
      <c r="C69" s="25" t="n">
        <v>3301</v>
      </c>
      <c r="D69" s="25" t="n">
        <v>3704</v>
      </c>
      <c r="E69" s="25" t="n">
        <v>4111</v>
      </c>
      <c r="F69" s="25" t="n">
        <v>4137</v>
      </c>
    </row>
    <row r="70">
      <c r="A70" s="3" t="inlineStr">
        <is>
          <t>Work In Process</t>
        </is>
      </c>
      <c r="C70" s="25" t="n">
        <v>3839</v>
      </c>
      <c r="D70" s="25" t="n">
        <v>4162</v>
      </c>
      <c r="E70" s="25" t="n">
        <v>4493</v>
      </c>
      <c r="F70" s="25" t="n">
        <v>4554</v>
      </c>
    </row>
    <row r="71">
      <c r="A71" s="3" t="inlineStr">
        <is>
          <t>Raw Materials</t>
        </is>
      </c>
      <c r="C71" s="25" t="n">
        <v>3477</v>
      </c>
      <c r="D71" s="25" t="n">
        <v>3911</v>
      </c>
      <c r="E71" s="25" t="n">
        <v>4164</v>
      </c>
      <c r="F71" s="25" t="n">
        <v>4673</v>
      </c>
    </row>
    <row r="72">
      <c r="A72" s="3" t="inlineStr">
        <is>
          <t>Receivables</t>
        </is>
      </c>
      <c r="C72" s="25" t="n">
        <v>20642</v>
      </c>
      <c r="D72" s="25" t="n">
        <v>22977</v>
      </c>
      <c r="E72" s="25" t="n">
        <v>25546</v>
      </c>
      <c r="F72" s="25" t="n">
        <v>31793</v>
      </c>
    </row>
    <row r="73">
      <c r="A73" s="3" t="inlineStr">
        <is>
          <t>Other Receivables</t>
        </is>
      </c>
      <c r="C73" s="25" t="n">
        <v>11534</v>
      </c>
      <c r="D73" s="25" t="n">
        <v>12139</v>
      </c>
      <c r="E73" s="25" t="n">
        <v>14570</v>
      </c>
      <c r="F73" s="25" t="n">
        <v>17092</v>
      </c>
    </row>
    <row r="74">
      <c r="A74" s="3" t="inlineStr">
        <is>
          <t>Accounts Receivable</t>
        </is>
      </c>
      <c r="C74" s="25" t="n">
        <v>9108</v>
      </c>
      <c r="D74" s="25" t="n">
        <v>10838</v>
      </c>
      <c r="E74" s="25" t="n">
        <v>10976</v>
      </c>
      <c r="F74" s="25" t="n">
        <v>14701</v>
      </c>
    </row>
    <row r="75">
      <c r="A75" s="3" t="inlineStr">
        <is>
          <t>Allowance For Doubtful Accounts Receivable</t>
        </is>
      </c>
      <c r="C75" s="25" t="n">
        <v>-452</v>
      </c>
      <c r="D75" s="25" t="n">
        <v>-316</v>
      </c>
      <c r="E75" s="25" t="n">
        <v>-289</v>
      </c>
      <c r="F75" s="25" t="n">
        <v>-340</v>
      </c>
    </row>
    <row r="76">
      <c r="A76" s="3" t="inlineStr">
        <is>
          <t>Gross Accounts Receivable</t>
        </is>
      </c>
      <c r="C76" s="25" t="n">
        <v>9560</v>
      </c>
      <c r="D76" s="25" t="n">
        <v>11154</v>
      </c>
      <c r="E76" s="25" t="n">
        <v>11265</v>
      </c>
      <c r="F76" s="25" t="n">
        <v>15041</v>
      </c>
    </row>
    <row r="77">
      <c r="A77" s="3" t="inlineStr">
        <is>
          <t>Cash Cash Equivalents And Short Term Investments</t>
        </is>
      </c>
      <c r="C77" s="25" t="n">
        <v>6220</v>
      </c>
      <c r="D77" s="25" t="n">
        <v>6587</v>
      </c>
      <c r="E77" s="25" t="n">
        <v>5578</v>
      </c>
      <c r="F77" s="25" t="n">
        <v>7435</v>
      </c>
    </row>
    <row r="78">
      <c r="A78" s="3" t="inlineStr">
        <is>
          <t>Cash And Cash Equivalents</t>
        </is>
      </c>
      <c r="C78" s="25" t="n">
        <v>6220</v>
      </c>
      <c r="D78" s="25" t="n">
        <v>6587</v>
      </c>
      <c r="E78" s="25" t="n">
        <v>5578</v>
      </c>
      <c r="F78" s="25" t="n">
        <v>7435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RTX — CF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4393</v>
      </c>
      <c r="D5" s="25" t="n">
        <v>4717</v>
      </c>
      <c r="E5" s="25" t="n">
        <v>3923</v>
      </c>
      <c r="F5" s="25" t="n">
        <v>7448</v>
      </c>
    </row>
    <row r="6">
      <c r="A6" s="3" t="inlineStr">
        <is>
          <t>Repurchase Of Capital Stock</t>
        </is>
      </c>
      <c r="C6" s="25" t="n">
        <v>-2803</v>
      </c>
      <c r="D6" s="25" t="n">
        <v>-12870</v>
      </c>
      <c r="E6" s="25" t="n">
        <v>-444</v>
      </c>
      <c r="F6" s="25" t="n">
        <v>-50</v>
      </c>
    </row>
    <row r="7">
      <c r="A7" s="3" t="inlineStr">
        <is>
          <t>Repayment Of Debt</t>
        </is>
      </c>
      <c r="C7" s="25" t="n">
        <v>-3</v>
      </c>
      <c r="D7" s="25" t="n">
        <v>-10578</v>
      </c>
      <c r="E7" s="25" t="n">
        <v>-2500</v>
      </c>
      <c r="F7" s="25" t="n">
        <v>-3429</v>
      </c>
    </row>
    <row r="8">
      <c r="A8" s="3" t="inlineStr">
        <is>
          <t>Issuance Of Debt</t>
        </is>
      </c>
      <c r="C8" s="25" t="n">
        <v>1</v>
      </c>
      <c r="D8" s="25" t="n">
        <v>22914</v>
      </c>
      <c r="E8" s="25" t="n">
        <v>0</v>
      </c>
      <c r="F8" s="25" t="n">
        <v>0</v>
      </c>
    </row>
    <row r="9">
      <c r="A9" s="3" t="inlineStr">
        <is>
          <t>Capital Expenditure</t>
        </is>
      </c>
      <c r="C9" s="25" t="n">
        <v>-2775</v>
      </c>
      <c r="D9" s="25" t="n">
        <v>-3166</v>
      </c>
      <c r="E9" s="25" t="n">
        <v>-3236</v>
      </c>
      <c r="F9" s="25" t="n">
        <v>-3119</v>
      </c>
    </row>
    <row r="10">
      <c r="A10" s="3" t="inlineStr">
        <is>
          <t>Interest Paid Supplemental Data</t>
        </is>
      </c>
      <c r="C10" s="25" t="n">
        <v>1263</v>
      </c>
      <c r="D10" s="25" t="n">
        <v>1464</v>
      </c>
      <c r="E10" s="25" t="n">
        <v>1942</v>
      </c>
      <c r="F10" s="25" t="n">
        <v>1858</v>
      </c>
    </row>
    <row r="11">
      <c r="A11" s="3" t="inlineStr">
        <is>
          <t>Income Tax Paid Supplemental Data</t>
        </is>
      </c>
      <c r="C11" s="25" t="n">
        <v>2400</v>
      </c>
      <c r="D11" s="25" t="n">
        <v>1527</v>
      </c>
      <c r="E11" s="25" t="n">
        <v>1176</v>
      </c>
      <c r="F11" s="25" t="n">
        <v>1607</v>
      </c>
    </row>
    <row r="12">
      <c r="A12" s="3" t="inlineStr">
        <is>
          <t>End Cash Position</t>
        </is>
      </c>
      <c r="C12" s="25" t="n">
        <v>6220</v>
      </c>
      <c r="D12" s="25" t="n">
        <v>6587</v>
      </c>
      <c r="E12" s="25" t="n">
        <v>5578</v>
      </c>
      <c r="F12" s="25" t="n">
        <v>7435</v>
      </c>
    </row>
    <row r="13">
      <c r="A13" s="3" t="inlineStr">
        <is>
          <t>Other Cash Adjustment Outside Changein Cash</t>
        </is>
      </c>
      <c r="C13" s="25" t="n">
        <v>-71</v>
      </c>
      <c r="D13" s="25" t="n">
        <v>-39</v>
      </c>
      <c r="E13" s="25" t="n">
        <v>-28</v>
      </c>
      <c r="F13" s="25" t="n">
        <v>-35</v>
      </c>
    </row>
    <row r="14">
      <c r="A14" s="3" t="inlineStr">
        <is>
          <t>Beginning Cash Position</t>
        </is>
      </c>
      <c r="C14" s="25" t="n">
        <v>7853</v>
      </c>
      <c r="D14" s="25" t="n">
        <v>6291</v>
      </c>
      <c r="E14" s="25" t="n">
        <v>6626</v>
      </c>
      <c r="F14" s="25" t="n">
        <v>5606</v>
      </c>
    </row>
    <row r="15">
      <c r="A15" s="3" t="inlineStr">
        <is>
          <t>Effect Of Exchange Rate Changes</t>
        </is>
      </c>
      <c r="C15" s="25" t="n">
        <v>-42</v>
      </c>
      <c r="D15" s="25" t="n">
        <v>18</v>
      </c>
      <c r="E15" s="25" t="n">
        <v>-28</v>
      </c>
      <c r="F15" s="25" t="n">
        <v>48</v>
      </c>
    </row>
    <row r="16">
      <c r="A16" s="3" t="inlineStr">
        <is>
          <t>Changes In Cash</t>
        </is>
      </c>
      <c r="C16" s="25" t="n">
        <v>-1520</v>
      </c>
      <c r="D16" s="25" t="n">
        <v>317</v>
      </c>
      <c r="E16" s="25" t="n">
        <v>-992</v>
      </c>
      <c r="F16" s="25" t="n">
        <v>1816</v>
      </c>
    </row>
    <row r="17">
      <c r="A17" s="3" t="inlineStr">
        <is>
          <t>Financing Cash Flow</t>
        </is>
      </c>
      <c r="C17" s="25" t="n">
        <v>-5859</v>
      </c>
      <c r="D17" s="25" t="n">
        <v>-4527</v>
      </c>
      <c r="E17" s="25" t="n">
        <v>-6617</v>
      </c>
      <c r="F17" s="25" t="n">
        <v>-7486</v>
      </c>
    </row>
    <row r="18">
      <c r="A18" s="3" t="inlineStr">
        <is>
          <t>Cash From Discontinued Financing Activities</t>
        </is>
      </c>
      <c r="B18" s="25" t="n">
        <v>0</v>
      </c>
      <c r="C18" s="25" t="n">
        <v>0</v>
      </c>
      <c r="D18" s="25" t="n">
        <v>0</v>
      </c>
    </row>
    <row r="19">
      <c r="A19" s="3" t="inlineStr">
        <is>
          <t>Cash Flow From Continuing Financing Activities</t>
        </is>
      </c>
      <c r="C19" s="25" t="n">
        <v>-5859</v>
      </c>
      <c r="D19" s="25" t="n">
        <v>-4527</v>
      </c>
      <c r="E19" s="25" t="n">
        <v>-6617</v>
      </c>
      <c r="F19" s="25" t="n">
        <v>-7486</v>
      </c>
    </row>
    <row r="20">
      <c r="A20" s="3" t="inlineStr">
        <is>
          <t>Net Other Financing Charges</t>
        </is>
      </c>
      <c r="C20" s="25" t="n">
        <v>-415</v>
      </c>
      <c r="D20" s="25" t="n">
        <v>-230</v>
      </c>
      <c r="E20" s="25" t="n">
        <v>-456</v>
      </c>
      <c r="F20" s="25" t="n">
        <v>-433</v>
      </c>
    </row>
    <row r="21">
      <c r="A21" s="3" t="inlineStr">
        <is>
          <t>Proceeds From Stock Option Exercised</t>
        </is>
      </c>
      <c r="B21" s="25" t="n">
        <v>7</v>
      </c>
    </row>
    <row r="22">
      <c r="A22" s="3" t="inlineStr">
        <is>
          <t>Cash Dividends Paid</t>
        </is>
      </c>
      <c r="C22" s="25" t="n">
        <v>-3128</v>
      </c>
      <c r="D22" s="25" t="n">
        <v>-3239</v>
      </c>
      <c r="E22" s="25" t="n">
        <v>-3217</v>
      </c>
      <c r="F22" s="25" t="n">
        <v>-3574</v>
      </c>
    </row>
    <row r="23">
      <c r="A23" s="3" t="inlineStr">
        <is>
          <t>Common Stock Dividend Paid</t>
        </is>
      </c>
      <c r="C23" s="25" t="n">
        <v>-3128</v>
      </c>
      <c r="D23" s="25" t="n">
        <v>-3239</v>
      </c>
      <c r="E23" s="25" t="n">
        <v>-3217</v>
      </c>
      <c r="F23" s="25" t="n">
        <v>-3574</v>
      </c>
    </row>
    <row r="24">
      <c r="A24" s="3" t="inlineStr">
        <is>
          <t>Net Common Stock Issuance</t>
        </is>
      </c>
      <c r="C24" s="25" t="n">
        <v>-2803</v>
      </c>
      <c r="D24" s="25" t="n">
        <v>-12870</v>
      </c>
      <c r="E24" s="25" t="n">
        <v>-444</v>
      </c>
      <c r="F24" s="25" t="n">
        <v>-50</v>
      </c>
    </row>
    <row r="25">
      <c r="A25" s="3" t="inlineStr">
        <is>
          <t>Common Stock Payments</t>
        </is>
      </c>
      <c r="C25" s="25" t="n">
        <v>-2803</v>
      </c>
      <c r="D25" s="25" t="n">
        <v>-12870</v>
      </c>
      <c r="E25" s="25" t="n">
        <v>-444</v>
      </c>
      <c r="F25" s="25" t="n">
        <v>-50</v>
      </c>
    </row>
    <row r="26">
      <c r="A26" s="3" t="inlineStr">
        <is>
          <t>Net Issuance Payments Of Debt</t>
        </is>
      </c>
      <c r="C26" s="25" t="n">
        <v>487</v>
      </c>
      <c r="D26" s="25" t="n">
        <v>11812</v>
      </c>
      <c r="E26" s="25" t="n">
        <v>-2500</v>
      </c>
      <c r="F26" s="25" t="n">
        <v>-3429</v>
      </c>
    </row>
    <row r="27">
      <c r="A27" s="3" t="inlineStr">
        <is>
          <t>Net Short Term Debt Issuance</t>
        </is>
      </c>
      <c r="C27" s="25" t="n">
        <v>489</v>
      </c>
      <c r="D27" s="25" t="n">
        <v>-524</v>
      </c>
      <c r="E27" s="25" t="n">
        <v>0</v>
      </c>
      <c r="F27" s="25" t="n">
        <v>0</v>
      </c>
    </row>
    <row r="28">
      <c r="A28" s="3" t="inlineStr">
        <is>
          <t>Net Long Term Debt Issuance</t>
        </is>
      </c>
      <c r="C28" s="25" t="n">
        <v>-2</v>
      </c>
      <c r="D28" s="25" t="n">
        <v>12336</v>
      </c>
      <c r="E28" s="25" t="n">
        <v>-2500</v>
      </c>
      <c r="F28" s="25" t="n">
        <v>-3429</v>
      </c>
    </row>
    <row r="29">
      <c r="A29" s="3" t="inlineStr">
        <is>
          <t>Long Term Debt Payments</t>
        </is>
      </c>
      <c r="C29" s="25" t="n">
        <v>-3</v>
      </c>
      <c r="D29" s="25" t="n">
        <v>-10578</v>
      </c>
      <c r="E29" s="25" t="n">
        <v>-2500</v>
      </c>
      <c r="F29" s="25" t="n">
        <v>-3429</v>
      </c>
    </row>
    <row r="30">
      <c r="A30" s="3" t="inlineStr">
        <is>
          <t>Long Term Debt Issuance</t>
        </is>
      </c>
      <c r="C30" s="25" t="n">
        <v>1</v>
      </c>
      <c r="D30" s="25" t="n">
        <v>22914</v>
      </c>
      <c r="E30" s="25" t="n">
        <v>0</v>
      </c>
      <c r="F30" s="25" t="n">
        <v>0</v>
      </c>
    </row>
    <row r="31">
      <c r="A31" s="3" t="inlineStr">
        <is>
          <t>Investing Cash Flow</t>
        </is>
      </c>
      <c r="C31" s="25" t="n">
        <v>-2829</v>
      </c>
      <c r="D31" s="25" t="n">
        <v>-3039</v>
      </c>
      <c r="E31" s="25" t="n">
        <v>-1534</v>
      </c>
      <c r="F31" s="25" t="n">
        <v>-1265</v>
      </c>
    </row>
    <row r="32">
      <c r="A32" s="3" t="inlineStr">
        <is>
          <t>Cash From Discontinued Investing Activities</t>
        </is>
      </c>
      <c r="B32" s="25" t="n">
        <v>0</v>
      </c>
      <c r="C32" s="25" t="n">
        <v>0</v>
      </c>
      <c r="D32" s="25" t="n">
        <v>0</v>
      </c>
    </row>
    <row r="33">
      <c r="A33" s="3" t="inlineStr">
        <is>
          <t>Cash Flow From Continuing Investing Activities</t>
        </is>
      </c>
      <c r="C33" s="25" t="n">
        <v>-2829</v>
      </c>
      <c r="D33" s="25" t="n">
        <v>-3039</v>
      </c>
      <c r="E33" s="25" t="n">
        <v>-1534</v>
      </c>
      <c r="F33" s="25" t="n">
        <v>-1265</v>
      </c>
    </row>
    <row r="34">
      <c r="A34" s="3" t="inlineStr">
        <is>
          <t>Net Other Investing Changes</t>
        </is>
      </c>
      <c r="C34" s="25" t="n">
        <v>94</v>
      </c>
      <c r="D34" s="25" t="n">
        <v>12</v>
      </c>
      <c r="E34" s="25" t="n">
        <v>65</v>
      </c>
      <c r="F34" s="25" t="n">
        <v>-123</v>
      </c>
    </row>
    <row r="35">
      <c r="A35" s="3" t="inlineStr">
        <is>
          <t>Net Investment Purchase And Sale</t>
        </is>
      </c>
      <c r="C35" s="25" t="n">
        <v>-176</v>
      </c>
      <c r="D35" s="25" t="n">
        <v>109</v>
      </c>
      <c r="E35" s="25" t="n">
        <v>-158</v>
      </c>
      <c r="F35" s="25" t="n">
        <v>46</v>
      </c>
    </row>
    <row r="36">
      <c r="A36" s="3" t="inlineStr">
        <is>
          <t>Sale Of Investment</t>
        </is>
      </c>
      <c r="C36" s="25" t="n">
        <v>179</v>
      </c>
      <c r="D36" s="25" t="n">
        <v>226</v>
      </c>
      <c r="E36" s="25" t="n">
        <v>202</v>
      </c>
      <c r="F36" s="25" t="n">
        <v>279</v>
      </c>
    </row>
    <row r="37">
      <c r="A37" s="3" t="inlineStr">
        <is>
          <t>Purchase Of Investment</t>
        </is>
      </c>
      <c r="C37" s="25" t="n">
        <v>-355</v>
      </c>
      <c r="D37" s="25" t="n">
        <v>-117</v>
      </c>
      <c r="E37" s="25" t="n">
        <v>-360</v>
      </c>
      <c r="F37" s="25" t="n">
        <v>-233</v>
      </c>
    </row>
    <row r="38">
      <c r="A38" s="3" t="inlineStr">
        <is>
          <t>Net Business Purchase And Sale</t>
        </is>
      </c>
      <c r="C38" s="25" t="n">
        <v>28</v>
      </c>
      <c r="D38" s="25" t="n">
        <v>6</v>
      </c>
      <c r="E38" s="25" t="n">
        <v>1795</v>
      </c>
      <c r="F38" s="25" t="n">
        <v>1931</v>
      </c>
    </row>
    <row r="39">
      <c r="A39" s="3" t="inlineStr">
        <is>
          <t>Sale Of Business</t>
        </is>
      </c>
      <c r="C39" s="25" t="n">
        <v>94</v>
      </c>
      <c r="D39" s="25" t="n">
        <v>6</v>
      </c>
      <c r="E39" s="25" t="n">
        <v>1795</v>
      </c>
      <c r="F39" s="25" t="n">
        <v>1931</v>
      </c>
    </row>
    <row r="40">
      <c r="A40" s="3" t="inlineStr">
        <is>
          <t>Purchase Of Business</t>
        </is>
      </c>
      <c r="B40" s="25" t="n">
        <v>-1088</v>
      </c>
      <c r="C40" s="25" t="n">
        <v>-66</v>
      </c>
      <c r="D40" s="25" t="n">
        <v>0</v>
      </c>
      <c r="E40" s="25" t="n">
        <v>0</v>
      </c>
    </row>
    <row r="41">
      <c r="A41" s="3" t="inlineStr">
        <is>
          <t>Net Intangibles Purchase And Sale</t>
        </is>
      </c>
      <c r="C41" s="25" t="n">
        <v>-487</v>
      </c>
      <c r="D41" s="25" t="n">
        <v>-751</v>
      </c>
      <c r="E41" s="25" t="n">
        <v>-611</v>
      </c>
      <c r="F41" s="25" t="n">
        <v>-492</v>
      </c>
    </row>
    <row r="42">
      <c r="A42" s="3" t="inlineStr">
        <is>
          <t>Purchase Of Intangibles</t>
        </is>
      </c>
      <c r="C42" s="25" t="n">
        <v>-487</v>
      </c>
      <c r="D42" s="25" t="n">
        <v>-751</v>
      </c>
      <c r="E42" s="25" t="n">
        <v>-611</v>
      </c>
      <c r="F42" s="25" t="n">
        <v>-492</v>
      </c>
    </row>
    <row r="43">
      <c r="A43" s="3" t="inlineStr">
        <is>
          <t>Capital Expenditure Reported</t>
        </is>
      </c>
      <c r="C43" s="25" t="n">
        <v>-2288</v>
      </c>
      <c r="D43" s="25" t="n">
        <v>-2415</v>
      </c>
      <c r="E43" s="25" t="n">
        <v>-2625</v>
      </c>
      <c r="F43" s="25" t="n">
        <v>-2627</v>
      </c>
    </row>
    <row r="44">
      <c r="A44" s="3" t="inlineStr">
        <is>
          <t>Operating Cash Flow</t>
        </is>
      </c>
      <c r="C44" s="25" t="n">
        <v>7168</v>
      </c>
      <c r="D44" s="25" t="n">
        <v>7883</v>
      </c>
      <c r="E44" s="25" t="n">
        <v>7159</v>
      </c>
      <c r="F44" s="25" t="n">
        <v>10567</v>
      </c>
    </row>
    <row r="45">
      <c r="A45" s="3" t="inlineStr">
        <is>
          <t>Cash From Discontinued Operating Activities</t>
        </is>
      </c>
      <c r="B45" s="25" t="n">
        <v>-71</v>
      </c>
      <c r="C45" s="25" t="n">
        <v>0</v>
      </c>
      <c r="D45" s="25" t="n">
        <v>0</v>
      </c>
    </row>
    <row r="46">
      <c r="A46" s="3" t="inlineStr">
        <is>
          <t>Cash Flow From Continuing Operating Activities</t>
        </is>
      </c>
      <c r="C46" s="25" t="n">
        <v>7168</v>
      </c>
      <c r="D46" s="25" t="n">
        <v>7883</v>
      </c>
      <c r="E46" s="25" t="n">
        <v>7159</v>
      </c>
      <c r="F46" s="25" t="n">
        <v>10567</v>
      </c>
    </row>
    <row r="47">
      <c r="A47" s="3" t="inlineStr">
        <is>
          <t>Change In Working Capital</t>
        </is>
      </c>
      <c r="C47" s="25" t="n">
        <v>522</v>
      </c>
      <c r="D47" s="25" t="n">
        <v>1515</v>
      </c>
      <c r="E47" s="25" t="n">
        <v>-1085</v>
      </c>
      <c r="F47" s="25" t="n">
        <v>-1274</v>
      </c>
    </row>
    <row r="48">
      <c r="A48" s="3" t="inlineStr">
        <is>
          <t>Change In Other Working Capital</t>
        </is>
      </c>
      <c r="C48" s="25" t="n">
        <v>846</v>
      </c>
      <c r="D48" s="25" t="n">
        <v>2322</v>
      </c>
      <c r="E48" s="25" t="n">
        <v>1872</v>
      </c>
      <c r="F48" s="25" t="n">
        <v>2773</v>
      </c>
    </row>
    <row r="49">
      <c r="A49" s="3" t="inlineStr">
        <is>
          <t>Change In Other Current Assets</t>
        </is>
      </c>
      <c r="C49" s="25" t="n">
        <v>-1027</v>
      </c>
      <c r="D49" s="25" t="n">
        <v>-1161</v>
      </c>
      <c r="E49" s="25" t="n">
        <v>-402</v>
      </c>
      <c r="F49" s="25" t="n">
        <v>-1055</v>
      </c>
    </row>
    <row r="50">
      <c r="A50" s="3" t="inlineStr">
        <is>
          <t>Change In Payables And Accrued Expense</t>
        </is>
      </c>
      <c r="C50" s="25" t="n">
        <v>2075</v>
      </c>
      <c r="D50" s="25" t="n">
        <v>4016</v>
      </c>
      <c r="E50" s="25" t="n">
        <v>1508</v>
      </c>
      <c r="F50" s="25" t="n">
        <v>3418</v>
      </c>
    </row>
    <row r="51">
      <c r="A51" s="3" t="inlineStr">
        <is>
          <t>Change In Inventory</t>
        </is>
      </c>
      <c r="C51" s="25" t="n">
        <v>-1575</v>
      </c>
      <c r="D51" s="25" t="n">
        <v>-1104</v>
      </c>
      <c r="E51" s="25" t="n">
        <v>-1474</v>
      </c>
      <c r="F51" s="25" t="n">
        <v>-532</v>
      </c>
    </row>
    <row r="52">
      <c r="A52" s="3" t="inlineStr">
        <is>
          <t>Change In Receivables</t>
        </is>
      </c>
      <c r="C52" s="25" t="n">
        <v>203</v>
      </c>
      <c r="D52" s="25" t="n">
        <v>-2558</v>
      </c>
      <c r="E52" s="25" t="n">
        <v>-2589</v>
      </c>
      <c r="F52" s="25" t="n">
        <v>-5878</v>
      </c>
    </row>
    <row r="53">
      <c r="A53" s="3" t="inlineStr">
        <is>
          <t>Changes In Account Receivables</t>
        </is>
      </c>
      <c r="C53" s="25" t="n">
        <v>437</v>
      </c>
      <c r="D53" s="25" t="n">
        <v>-1805</v>
      </c>
      <c r="E53" s="25" t="n">
        <v>-175</v>
      </c>
      <c r="F53" s="25" t="n">
        <v>-3235</v>
      </c>
    </row>
    <row r="54">
      <c r="A54" s="3" t="inlineStr">
        <is>
          <t>Other Non Cash Items</t>
        </is>
      </c>
      <c r="C54" s="25" t="n">
        <v>-133</v>
      </c>
      <c r="D54" s="25" t="n">
        <v>48</v>
      </c>
      <c r="E54" s="25" t="n">
        <v>-135</v>
      </c>
      <c r="F54" s="25" t="n">
        <v>-476</v>
      </c>
    </row>
    <row r="55">
      <c r="A55" s="3" t="inlineStr">
        <is>
          <t>Stock Based Compensation</t>
        </is>
      </c>
      <c r="C55" s="25" t="n">
        <v>420</v>
      </c>
      <c r="D55" s="25" t="n">
        <v>686</v>
      </c>
      <c r="E55" s="25" t="n">
        <v>790</v>
      </c>
      <c r="F55" s="25" t="n">
        <v>1092</v>
      </c>
    </row>
    <row r="56">
      <c r="A56" s="3" t="inlineStr">
        <is>
          <t>Asset Impairment Charge</t>
        </is>
      </c>
      <c r="B56" s="25" t="n">
        <v>0</v>
      </c>
      <c r="C56" s="25" t="n">
        <v>0</v>
      </c>
    </row>
    <row r="57">
      <c r="A57" s="3" t="inlineStr">
        <is>
          <t>Deferred Tax</t>
        </is>
      </c>
      <c r="C57" s="25" t="n">
        <v>-1663</v>
      </c>
      <c r="D57" s="25" t="n">
        <v>-402</v>
      </c>
      <c r="E57" s="25" t="n">
        <v>-47</v>
      </c>
      <c r="F57" s="25" t="n">
        <v>789</v>
      </c>
    </row>
    <row r="58">
      <c r="A58" s="3" t="inlineStr">
        <is>
          <t>Deferred Income Tax</t>
        </is>
      </c>
      <c r="C58" s="25" t="n">
        <v>-1663</v>
      </c>
      <c r="D58" s="25" t="n">
        <v>-402</v>
      </c>
      <c r="E58" s="25" t="n">
        <v>-47</v>
      </c>
      <c r="F58" s="25" t="n">
        <v>789</v>
      </c>
    </row>
    <row r="59">
      <c r="A59" s="3" t="inlineStr">
        <is>
          <t>Depreciation Amortization Depletion</t>
        </is>
      </c>
      <c r="C59" s="25" t="n">
        <v>4108</v>
      </c>
      <c r="D59" s="25" t="n">
        <v>4211</v>
      </c>
      <c r="E59" s="25" t="n">
        <v>4364</v>
      </c>
      <c r="F59" s="25" t="n">
        <v>4378</v>
      </c>
    </row>
    <row r="60">
      <c r="A60" s="3" t="inlineStr">
        <is>
          <t>Depreciation And Amortization</t>
        </is>
      </c>
      <c r="C60" s="25" t="n">
        <v>4108</v>
      </c>
      <c r="D60" s="25" t="n">
        <v>4211</v>
      </c>
      <c r="E60" s="25" t="n">
        <v>4364</v>
      </c>
      <c r="F60" s="25" t="n">
        <v>4378</v>
      </c>
    </row>
    <row r="61">
      <c r="A61" s="3" t="inlineStr">
        <is>
          <t>Operating Gains Losses</t>
        </is>
      </c>
      <c r="C61" s="25" t="n">
        <v>-1413</v>
      </c>
      <c r="D61" s="25" t="n">
        <v>-1555</v>
      </c>
      <c r="E61" s="25" t="n">
        <v>-1741</v>
      </c>
      <c r="F61" s="25" t="n">
        <v>-1011</v>
      </c>
    </row>
    <row r="62">
      <c r="A62" s="3" t="inlineStr">
        <is>
          <t>Pension And Employee Benefit Expense</t>
        </is>
      </c>
      <c r="C62" s="25" t="n">
        <v>-1413</v>
      </c>
      <c r="D62" s="25" t="n">
        <v>-1555</v>
      </c>
      <c r="E62" s="25" t="n">
        <v>-1326</v>
      </c>
      <c r="F62" s="25" t="n">
        <v>-1011</v>
      </c>
    </row>
    <row r="63">
      <c r="A63" s="3" t="inlineStr">
        <is>
          <t>Gain Loss On Sale Of Business</t>
        </is>
      </c>
      <c r="C63" s="25" t="n">
        <v>0</v>
      </c>
      <c r="D63" s="25" t="n">
        <v>0</v>
      </c>
      <c r="E63" s="25" t="n">
        <v>-415</v>
      </c>
      <c r="F63" s="25" t="n">
        <v>0</v>
      </c>
    </row>
    <row r="64">
      <c r="A64" s="3" t="inlineStr">
        <is>
          <t>Net Income From Continuing Operations</t>
        </is>
      </c>
      <c r="C64" s="25" t="n">
        <v>5327</v>
      </c>
      <c r="D64" s="25" t="n">
        <v>3380</v>
      </c>
      <c r="E64" s="25" t="n">
        <v>5013</v>
      </c>
      <c r="F64" s="25" t="n">
        <v>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2026-10-13T14:08:17Z</dcterms:created>
  <dcterms:modified xmlns:dcterms="http://purl.org/dc/terms/" xmlns:xsi="http://www.w3.org/2001/XMLSchema-instance" xsi:type="dcterms:W3CDTF">2026-10-13T14:08:17Z</dcterms:modified>
</cp:coreProperties>
</file>