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DDM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The Southern Company (SO)</t>
        </is>
      </c>
    </row>
    <row r="2">
      <c r="A2" s="2" t="inlineStr">
        <is>
          <t>Utilities · Utility (P/E + dividends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74.05859727675099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SO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31.01905855602003</v>
      </c>
      <c r="D5" s="6" t="n">
        <v>16.31746178382987</v>
      </c>
      <c r="E5" s="6" t="n">
        <v>47.56067068103095</v>
      </c>
      <c r="F5" s="11" t="n">
        <v>0.25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68.72643975</v>
      </c>
      <c r="D6" s="6" t="n">
        <v>56.355680595</v>
      </c>
      <c r="E6" s="6" t="n">
        <v>81.097198905</v>
      </c>
      <c r="F6" s="11" t="n">
        <v>0.3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90.15025011981425</v>
      </c>
      <c r="D7" s="6" t="n">
        <v>62.14287106409379</v>
      </c>
      <c r="E7" s="6" t="n">
        <v>118.1576291755347</v>
      </c>
      <c r="F7" s="11" t="n">
        <v>0.2</v>
      </c>
      <c r="G7" s="2" t="inlineStr">
        <is>
          <t>ok</t>
        </is>
      </c>
    </row>
    <row r="8">
      <c r="A8" s="3" t="inlineStr">
        <is>
          <t>Multi-stage dividend discount</t>
        </is>
      </c>
      <c r="B8" s="2" t="inlineStr">
        <is>
          <t>sector</t>
        </is>
      </c>
      <c r="C8" s="6" t="n">
        <v>62.83248344378649</v>
      </c>
      <c r="D8" s="6" t="n">
        <v>50.26598675502919</v>
      </c>
      <c r="E8" s="6" t="n">
        <v>75.39898013254378</v>
      </c>
      <c r="F8" s="11" t="n">
        <v>0.25</v>
      </c>
      <c r="G8" s="2" t="inlineStr">
        <is>
          <t>ok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0.07519999999999999</v>
      </c>
    </row>
    <row r="13">
      <c r="A13" s="3" t="inlineStr">
        <is>
          <t>Dividends per share (12m)</t>
        </is>
      </c>
      <c r="B13" s="6" t="n">
        <v>3.04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98.13158</v>
      </c>
    </row>
    <row r="16">
      <c r="A16" s="3" t="inlineStr">
        <is>
          <t>Street weight in target</t>
        </is>
      </c>
      <c r="B16" s="11" t="n">
        <v>0.3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88.03</v>
      </c>
    </row>
    <row r="19">
      <c r="A19" s="3" t="inlineStr">
        <is>
          <t>Engine target (incl. plausibility band)</t>
        </is>
      </c>
      <c r="B19" s="6" t="n">
        <v>74.05859727675099</v>
      </c>
    </row>
    <row r="21">
      <c r="A21" s="8" t="inlineStr">
        <is>
          <t>Guardrails</t>
        </is>
      </c>
    </row>
    <row r="22">
      <c r="A22" s="2" t="inlineStr">
        <is>
          <t>Target anchored 30% to the Street consensus ($98.13, 19 analysts); model-only target $63.74.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SO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30915.59886</v>
      </c>
      <c r="C5" s="18" t="n">
        <v>32744.3712</v>
      </c>
      <c r="D5" s="19" t="n">
        <v>34332.01490309266</v>
      </c>
      <c r="E5" s="19" t="n">
        <v>35744.78733698092</v>
      </c>
      <c r="F5" s="19" t="n">
        <v>37035.38310468532</v>
      </c>
      <c r="G5" s="19" t="n">
        <v>38244.10695904976</v>
      </c>
      <c r="H5" s="19" t="n">
        <v>39401.05353547126</v>
      </c>
      <c r="I5" s="19" t="n">
        <v>40528.36949142513</v>
      </c>
      <c r="J5" s="19" t="n">
        <v>41642.22455275923</v>
      </c>
      <c r="K5" s="19" t="n">
        <v>42683.28016657821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0.3088330415845532</v>
      </c>
      <c r="C7" s="11" t="n">
        <v>0.3056140891971948</v>
      </c>
      <c r="D7" s="11" t="n">
        <v>0.2981802004759774</v>
      </c>
      <c r="E7" s="11" t="n">
        <v>0.2907463117547599</v>
      </c>
      <c r="F7" s="11" t="n">
        <v>0.2833124230335424</v>
      </c>
      <c r="G7" s="11" t="n">
        <v>0.275878534312325</v>
      </c>
      <c r="H7" s="11" t="n">
        <v>0.2684446455911075</v>
      </c>
      <c r="I7" s="11" t="n">
        <v>0.2610107568698901</v>
      </c>
      <c r="J7" s="11" t="n">
        <v>0.2610107568698901</v>
      </c>
      <c r="K7" s="11" t="n">
        <v>0.2610107568698901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5279.1306872706</v>
      </c>
      <c r="C9" s="18" t="n">
        <v>5663.478457840861</v>
      </c>
      <c r="D9" s="19" t="n">
        <v>5855.898764798697</v>
      </c>
      <c r="E9" s="19" t="n">
        <v>5986.031386795035</v>
      </c>
      <c r="F9" s="19" t="n">
        <v>6069.629782904351</v>
      </c>
      <c r="G9" s="19" t="n">
        <v>6118.276658159573</v>
      </c>
      <c r="H9" s="19" t="n">
        <v>6140.258827992703</v>
      </c>
      <c r="I9" s="19" t="n">
        <v>6141.378735464794</v>
      </c>
      <c r="J9" s="19" t="n">
        <v>6384.619729472067</v>
      </c>
      <c r="K9" s="19" t="n">
        <v>6611.962954917288</v>
      </c>
    </row>
    <row r="10">
      <c r="A10" s="3" t="inlineStr">
        <is>
          <t>EPS</t>
        </is>
      </c>
      <c r="B10" s="16">
        <f>B9*1000000/1150362966.0</f>
        <v/>
      </c>
      <c r="C10" s="16">
        <f>C9*1000000/1150362966.0</f>
        <v/>
      </c>
      <c r="D10" s="16">
        <f>D9*1000000/1150362966.0</f>
        <v/>
      </c>
      <c r="E10" s="16">
        <f>E9*1000000/1150362966.0</f>
        <v/>
      </c>
      <c r="F10" s="16">
        <f>F9*1000000/1150362966.0</f>
        <v/>
      </c>
      <c r="G10" s="16">
        <f>G9*1000000/1150362966.0</f>
        <v/>
      </c>
      <c r="H10" s="16">
        <f>H9*1000000/1150362966.0</f>
        <v/>
      </c>
      <c r="I10" s="16">
        <f>I9*1000000/1150362966.0</f>
        <v/>
      </c>
      <c r="J10" s="16">
        <f>J9*1000000/1150362966.0</f>
        <v/>
      </c>
      <c r="K10" s="16">
        <f>K9*1000000/1150362966.0</f>
        <v/>
      </c>
    </row>
    <row r="12">
      <c r="A12" s="13" t="inlineStr">
        <is>
          <t>Levered FCF (mn)</t>
        </is>
      </c>
      <c r="B12" s="20" t="n">
        <v>318.1564964320912</v>
      </c>
      <c r="C12" s="20" t="n">
        <v>980.3973469739537</v>
      </c>
      <c r="D12" s="20" t="n">
        <v>1471.403099888982</v>
      </c>
      <c r="E12" s="20" t="n">
        <v>1978.709056376254</v>
      </c>
      <c r="F12" s="20" t="n">
        <v>2502.917799966457</v>
      </c>
      <c r="G12" s="20" t="n">
        <v>3045.042893556436</v>
      </c>
      <c r="H12" s="20" t="n">
        <v>3606.329844360442</v>
      </c>
      <c r="I12" s="20" t="n">
        <v>4188.129883254385</v>
      </c>
      <c r="J12" s="20" t="n">
        <v>5050.821106179979</v>
      </c>
      <c r="K12" s="20" t="n">
        <v>5929.270559514752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SO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88.03</v>
      </c>
    </row>
    <row r="6">
      <c r="A6" s="3" t="inlineStr">
        <is>
          <t>Diluted shares (mn)</t>
        </is>
      </c>
      <c r="B6" s="18" t="n">
        <v>1150.362966</v>
      </c>
    </row>
    <row r="7">
      <c r="A7" s="3" t="inlineStr">
        <is>
          <t>Total debt (USDmm)</t>
        </is>
      </c>
      <c r="B7" s="18" t="n">
        <v>74075</v>
      </c>
    </row>
    <row r="8">
      <c r="A8" s="3" t="inlineStr">
        <is>
          <t>Cash &amp; ST investments (USDmm)</t>
        </is>
      </c>
      <c r="B8" s="18" t="n">
        <v>1639</v>
      </c>
    </row>
    <row r="9">
      <c r="A9" s="3" t="inlineStr">
        <is>
          <t>Minority interest (USDmm)</t>
        </is>
      </c>
      <c r="B9" s="18" t="n">
        <v>2851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0.7</v>
      </c>
    </row>
    <row r="18">
      <c r="A18" s="3" t="inlineStr">
        <is>
          <t>Pre-tax cost of debt</t>
        </is>
      </c>
      <c r="B18" s="15" t="n">
        <v>0.074</v>
      </c>
    </row>
    <row r="19">
      <c r="A19" s="3" t="inlineStr">
        <is>
          <t>Tax rate</t>
        </is>
      </c>
      <c r="B19" s="11" t="n">
        <v>0.1633387003283421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0.04610695563902145</v>
      </c>
      <c r="C26" s="11" t="n">
        <v>0.05915370904770501</v>
      </c>
      <c r="D26" s="11" t="n">
        <v>0.04848600369802352</v>
      </c>
      <c r="E26" s="11" t="n">
        <v>0.04115029187410142</v>
      </c>
      <c r="F26" s="11" t="n">
        <v>0.03610584546321165</v>
      </c>
      <c r="G26" s="11" t="n">
        <v>0.0326370015114418</v>
      </c>
      <c r="H26" s="11" t="n">
        <v>0.03025163007885921</v>
      </c>
      <c r="I26" s="11" t="n">
        <v>0.02861131504869533</v>
      </c>
      <c r="J26" s="11" t="n">
        <v>0.02748334254033489</v>
      </c>
      <c r="K26" s="11" t="n">
        <v>0.025</v>
      </c>
    </row>
    <row r="27">
      <c r="A27" s="3" t="inlineStr">
        <is>
          <t>EBIT margin</t>
        </is>
      </c>
      <c r="B27" s="11" t="n">
        <v>0.3088330415845532</v>
      </c>
      <c r="C27" s="11" t="n">
        <v>0.3056140891971948</v>
      </c>
      <c r="D27" s="11" t="n">
        <v>0.2981802004759774</v>
      </c>
      <c r="E27" s="11" t="n">
        <v>0.2907463117547599</v>
      </c>
      <c r="F27" s="11" t="n">
        <v>0.2833124230335424</v>
      </c>
      <c r="G27" s="11" t="n">
        <v>0.275878534312325</v>
      </c>
      <c r="H27" s="11" t="n">
        <v>0.2684446455911075</v>
      </c>
      <c r="I27" s="11" t="n">
        <v>0.2610107568698901</v>
      </c>
      <c r="J27" s="11" t="n">
        <v>0.2610107568698901</v>
      </c>
      <c r="K27" s="11" t="n">
        <v>0.2610107568698901</v>
      </c>
    </row>
    <row r="28">
      <c r="A28" s="3" t="inlineStr">
        <is>
          <t>D&amp;A % of revenue</t>
        </is>
      </c>
      <c r="B28" s="11" t="n">
        <v>0.1843339953522385</v>
      </c>
      <c r="C28" s="11" t="n">
        <v>0.1843339953522385</v>
      </c>
      <c r="D28" s="11" t="n">
        <v>0.1843339953522385</v>
      </c>
      <c r="E28" s="11" t="n">
        <v>0.1843339953522385</v>
      </c>
      <c r="F28" s="11" t="n">
        <v>0.1843339953522385</v>
      </c>
      <c r="G28" s="11" t="n">
        <v>0.1843339953522385</v>
      </c>
      <c r="H28" s="11" t="n">
        <v>0.1843339953522385</v>
      </c>
      <c r="I28" s="11" t="n">
        <v>0.1843339953522385</v>
      </c>
      <c r="J28" s="11" t="n">
        <v>0.1843339953522385</v>
      </c>
      <c r="K28" s="11" t="n">
        <v>0.1843339953522385</v>
      </c>
    </row>
    <row r="29">
      <c r="A29" s="3" t="inlineStr">
        <is>
          <t>Capex % of revenue</t>
        </is>
      </c>
      <c r="B29" s="11" t="n">
        <v>0.3492097947802593</v>
      </c>
      <c r="C29" s="11" t="n">
        <v>0.3329384170143929</v>
      </c>
      <c r="D29" s="11" t="n">
        <v>0.3166670392485266</v>
      </c>
      <c r="E29" s="11" t="n">
        <v>0.3003956614826603</v>
      </c>
      <c r="F29" s="11" t="n">
        <v>0.2841242837167939</v>
      </c>
      <c r="G29" s="11" t="n">
        <v>0.2678529059509276</v>
      </c>
      <c r="H29" s="11" t="n">
        <v>0.2515815281850613</v>
      </c>
      <c r="I29" s="11" t="n">
        <v>0.235310150419195</v>
      </c>
      <c r="J29" s="11" t="n">
        <v>0.2190387726533286</v>
      </c>
      <c r="K29" s="11" t="n">
        <v>0.2027673948874623</v>
      </c>
    </row>
    <row r="30">
      <c r="A30" s="3" t="inlineStr">
        <is>
          <t>ΔNWC % of Δrevenue</t>
        </is>
      </c>
      <c r="B30" s="11" t="n">
        <v>-0.1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29279</v>
      </c>
      <c r="C5" s="25" t="n">
        <v>25253</v>
      </c>
      <c r="D5" s="25" t="n">
        <v>26724</v>
      </c>
      <c r="E5" s="25" t="n">
        <v>29553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5370</v>
      </c>
      <c r="C7" s="25" t="n">
        <v>5826</v>
      </c>
      <c r="D7" s="25" t="n">
        <v>7068</v>
      </c>
      <c r="E7" s="25" t="n">
        <v>7285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4064</v>
      </c>
      <c r="C9" s="25" t="n">
        <v>4986</v>
      </c>
      <c r="D9" s="25" t="n">
        <v>5266</v>
      </c>
      <c r="E9" s="25" t="n">
        <v>6030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7923</v>
      </c>
      <c r="C12" s="25" t="n">
        <v>9095</v>
      </c>
      <c r="D12" s="25" t="n">
        <v>8955</v>
      </c>
      <c r="E12" s="25" t="n">
        <v>12737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-160</v>
      </c>
      <c r="C13" s="25" t="n">
        <v>135</v>
      </c>
      <c r="D13" s="25" t="n">
        <v>-1421</v>
      </c>
      <c r="E13" s="25" t="n">
        <v>-399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108452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0.05458672820447219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0.06208672820447219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0.06958672820447219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0.07708672820447218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0.08458672820447219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Multi-stage dividend discount</t>
        </is>
      </c>
    </row>
    <row r="2">
      <c r="A2" s="2" t="inlineStr">
        <is>
          <t>Dividends fade from the retention-implied growth to terminal g, at Ke.</t>
        </is>
      </c>
    </row>
    <row r="4">
      <c r="A4" s="3" t="inlineStr">
        <is>
          <t>Current DPS (USD)</t>
        </is>
      </c>
      <c r="B4" s="6" t="n">
        <v>3.04</v>
      </c>
    </row>
    <row r="5">
      <c r="A5" s="3" t="inlineStr">
        <is>
          <t>Near-term dividend growth</t>
        </is>
      </c>
      <c r="B5" s="36" t="n">
        <v>0.06</v>
      </c>
    </row>
    <row r="6">
      <c r="A6" s="3" t="inlineStr">
        <is>
          <t>Terminal growth</t>
        </is>
      </c>
      <c r="B6" s="33">
        <f>Assumptions!$B$22</f>
        <v/>
      </c>
    </row>
    <row r="7">
      <c r="A7" s="3" t="inlineStr">
        <is>
          <t>Cost of equity (Ke)</t>
        </is>
      </c>
      <c r="B7" s="7">
        <f>WACC!$B$4</f>
        <v/>
      </c>
    </row>
    <row r="9">
      <c r="A9" s="9" t="inlineStr">
        <is>
          <t>Year</t>
        </is>
      </c>
      <c r="B9" s="10" t="inlineStr">
        <is>
          <t>Y1</t>
        </is>
      </c>
      <c r="C9" s="10" t="inlineStr">
        <is>
          <t>Y2</t>
        </is>
      </c>
      <c r="D9" s="10" t="inlineStr">
        <is>
          <t>Y3</t>
        </is>
      </c>
      <c r="E9" s="10" t="inlineStr">
        <is>
          <t>Y4</t>
        </is>
      </c>
      <c r="F9" s="10" t="inlineStr">
        <is>
          <t>Y5</t>
        </is>
      </c>
      <c r="G9" s="10" t="inlineStr">
        <is>
          <t>Y6</t>
        </is>
      </c>
    </row>
    <row r="10">
      <c r="A10" s="3" t="inlineStr">
        <is>
          <t>Growth (fade)</t>
        </is>
      </c>
      <c r="B10" s="12">
        <f>$B$5+($B$6-$B$5)*0/5</f>
        <v/>
      </c>
      <c r="C10" s="12">
        <f>$B$5+($B$6-$B$5)*1/5</f>
        <v/>
      </c>
      <c r="D10" s="12">
        <f>$B$5+($B$6-$B$5)*2/5</f>
        <v/>
      </c>
      <c r="E10" s="12">
        <f>$B$5+($B$6-$B$5)*3/5</f>
        <v/>
      </c>
      <c r="F10" s="12">
        <f>$B$5+($B$6-$B$5)*4/5</f>
        <v/>
      </c>
      <c r="G10" s="12">
        <f>$B$5+($B$6-$B$5)*5/5</f>
        <v/>
      </c>
    </row>
    <row r="11">
      <c r="A11" s="3" t="inlineStr">
        <is>
          <t>DPS</t>
        </is>
      </c>
      <c r="B11" s="16">
        <f>$B$4*(1+B10)</f>
        <v/>
      </c>
      <c r="C11" s="16">
        <f>B11*(1+C10)</f>
        <v/>
      </c>
      <c r="D11" s="16">
        <f>C11*(1+D10)</f>
        <v/>
      </c>
      <c r="E11" s="16">
        <f>D11*(1+E10)</f>
        <v/>
      </c>
      <c r="F11" s="16">
        <f>E11*(1+F10)</f>
        <v/>
      </c>
      <c r="G11" s="16">
        <f>F11*(1+G10)</f>
        <v/>
      </c>
    </row>
    <row r="12">
      <c r="A12" s="3" t="inlineStr">
        <is>
          <t>PV of DPS</t>
        </is>
      </c>
      <c r="B12" s="16">
        <f>B11/(1+$B$7)^1</f>
        <v/>
      </c>
      <c r="C12" s="16">
        <f>C11/(1+$B$7)^2</f>
        <v/>
      </c>
      <c r="D12" s="16">
        <f>D11/(1+$B$7)^3</f>
        <v/>
      </c>
      <c r="E12" s="16">
        <f>E11/(1+$B$7)^4</f>
        <v/>
      </c>
      <c r="F12" s="16">
        <f>F11/(1+$B$7)^5</f>
        <v/>
      </c>
      <c r="G12" s="16">
        <f>G11/(1+$B$7)^6</f>
        <v/>
      </c>
    </row>
    <row r="14">
      <c r="A14" s="3" t="inlineStr">
        <is>
          <t>PV explicit dividends</t>
        </is>
      </c>
      <c r="B14" s="16">
        <f>SUM(B12:G12)</f>
        <v/>
      </c>
    </row>
    <row r="15">
      <c r="A15" s="3" t="inlineStr">
        <is>
          <t>PV terminal value</t>
        </is>
      </c>
      <c r="B15" s="16">
        <f>G11*(1+$B$6)/($B$7-$B$6)/(1+$B$7)^6</f>
        <v/>
      </c>
    </row>
    <row r="16">
      <c r="A16" s="13" t="inlineStr">
        <is>
          <t>Value per share</t>
        </is>
      </c>
      <c r="B16" s="17">
        <f>$B$14+$B$15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42.112</v>
      </c>
      <c r="D5" s="25" t="n">
        <v>30.552</v>
      </c>
      <c r="E5" s="25" t="n">
        <v>43.475</v>
      </c>
      <c r="F5" s="25" t="n">
        <v>56.44</v>
      </c>
    </row>
    <row r="6">
      <c r="A6" s="3" t="inlineStr">
        <is>
          <t>Tax Rate For Calcs</t>
        </is>
      </c>
      <c r="C6" s="25" t="n">
        <v>1.88e-07</v>
      </c>
      <c r="D6" s="25" t="n">
        <v>1.14e-07</v>
      </c>
      <c r="E6" s="25" t="n">
        <v>1.85e-07</v>
      </c>
      <c r="F6" s="25" t="n">
        <v>1.66e-07</v>
      </c>
    </row>
    <row r="7">
      <c r="A7" s="3" t="inlineStr">
        <is>
          <t>Normalized EBITDA</t>
        </is>
      </c>
      <c r="C7" s="25" t="n">
        <v>10085</v>
      </c>
      <c r="D7" s="25" t="n">
        <v>11509</v>
      </c>
      <c r="E7" s="25" t="n">
        <v>13003</v>
      </c>
      <c r="F7" s="25" t="n">
        <v>13927</v>
      </c>
    </row>
    <row r="8">
      <c r="A8" s="3" t="inlineStr">
        <is>
          <t>Total Unusual Items</t>
        </is>
      </c>
      <c r="C8" s="25" t="n">
        <v>224</v>
      </c>
      <c r="D8" s="25" t="n">
        <v>268</v>
      </c>
      <c r="E8" s="25" t="n">
        <v>235</v>
      </c>
      <c r="F8" s="25" t="n">
        <v>340</v>
      </c>
    </row>
    <row r="9">
      <c r="A9" s="3" t="inlineStr">
        <is>
          <t>Total Unusual Items Excluding Goodwill</t>
        </is>
      </c>
      <c r="C9" s="25" t="n">
        <v>224</v>
      </c>
      <c r="D9" s="25" t="n">
        <v>268</v>
      </c>
      <c r="E9" s="25" t="n">
        <v>235</v>
      </c>
      <c r="F9" s="25" t="n">
        <v>340</v>
      </c>
    </row>
    <row r="10">
      <c r="A10" s="3" t="inlineStr">
        <is>
          <t>Net Income From Continuing Operation Net Minority Interest</t>
        </is>
      </c>
      <c r="C10" s="25" t="n">
        <v>3535</v>
      </c>
      <c r="D10" s="25" t="n">
        <v>3976</v>
      </c>
      <c r="E10" s="25" t="n">
        <v>4401</v>
      </c>
      <c r="F10" s="25" t="n">
        <v>4341</v>
      </c>
    </row>
    <row r="11">
      <c r="A11" s="3" t="inlineStr">
        <is>
          <t>Reconciled Depreciation</t>
        </is>
      </c>
      <c r="C11" s="25" t="n">
        <v>4064</v>
      </c>
      <c r="D11" s="25" t="n">
        <v>4986</v>
      </c>
      <c r="E11" s="25" t="n">
        <v>5266</v>
      </c>
      <c r="F11" s="25" t="n">
        <v>6030</v>
      </c>
    </row>
    <row r="12">
      <c r="A12" s="3" t="inlineStr">
        <is>
          <t>Reconciled Cost Of Revenue</t>
        </is>
      </c>
      <c r="C12" s="25" t="n">
        <v>18251</v>
      </c>
      <c r="D12" s="25" t="n">
        <v>13016</v>
      </c>
      <c r="E12" s="25" t="n">
        <v>12850</v>
      </c>
      <c r="F12" s="25" t="n">
        <v>14700</v>
      </c>
    </row>
    <row r="13">
      <c r="A13" s="3" t="inlineStr">
        <is>
          <t>EBITDA</t>
        </is>
      </c>
      <c r="C13" s="25" t="n">
        <v>10309</v>
      </c>
      <c r="D13" s="25" t="n">
        <v>11777</v>
      </c>
      <c r="E13" s="25" t="n">
        <v>13238</v>
      </c>
      <c r="F13" s="25" t="n">
        <v>14267</v>
      </c>
    </row>
    <row r="14">
      <c r="A14" s="3" t="inlineStr">
        <is>
          <t>EBIT</t>
        </is>
      </c>
      <c r="C14" s="25" t="n">
        <v>6245</v>
      </c>
      <c r="D14" s="25" t="n">
        <v>6791</v>
      </c>
      <c r="E14" s="25" t="n">
        <v>7972</v>
      </c>
      <c r="F14" s="25" t="n">
        <v>8237</v>
      </c>
    </row>
    <row r="15">
      <c r="A15" s="3" t="inlineStr">
        <is>
          <t>Net Interest Income</t>
        </is>
      </c>
      <c r="C15" s="25" t="n">
        <v>-2022</v>
      </c>
      <c r="D15" s="25" t="n">
        <v>-2446</v>
      </c>
      <c r="E15" s="25" t="n">
        <v>-2743</v>
      </c>
      <c r="F15" s="25" t="n">
        <v>-3238</v>
      </c>
    </row>
    <row r="16">
      <c r="A16" s="3" t="inlineStr">
        <is>
          <t>Interest Expense</t>
        </is>
      </c>
      <c r="C16" s="25" t="n">
        <v>2022</v>
      </c>
      <c r="D16" s="25" t="n">
        <v>2446</v>
      </c>
      <c r="E16" s="25" t="n">
        <v>2743</v>
      </c>
      <c r="F16" s="25" t="n">
        <v>3238</v>
      </c>
    </row>
    <row r="17">
      <c r="A17" s="3" t="inlineStr">
        <is>
          <t>Normalized Income</t>
        </is>
      </c>
      <c r="C17" s="25" t="n">
        <v>3353.112</v>
      </c>
      <c r="D17" s="25" t="n">
        <v>3738.552</v>
      </c>
      <c r="E17" s="25" t="n">
        <v>4209.475</v>
      </c>
      <c r="F17" s="25" t="n">
        <v>4057.44</v>
      </c>
    </row>
    <row r="18">
      <c r="A18" s="3" t="inlineStr">
        <is>
          <t>Net Income From Continuing And Discontinued Operation</t>
        </is>
      </c>
      <c r="C18" s="25" t="n">
        <v>3535</v>
      </c>
      <c r="D18" s="25" t="n">
        <v>3976</v>
      </c>
      <c r="E18" s="25" t="n">
        <v>4401</v>
      </c>
      <c r="F18" s="25" t="n">
        <v>4341</v>
      </c>
    </row>
    <row r="19">
      <c r="A19" s="3" t="inlineStr">
        <is>
          <t>Total Expenses</t>
        </is>
      </c>
      <c r="C19" s="25" t="n">
        <v>23909</v>
      </c>
      <c r="D19" s="25" t="n">
        <v>19427</v>
      </c>
      <c r="E19" s="25" t="n">
        <v>19656</v>
      </c>
      <c r="F19" s="25" t="n">
        <v>22268</v>
      </c>
    </row>
    <row r="20">
      <c r="A20" s="3" t="inlineStr">
        <is>
          <t>Total Operating Income As Reported</t>
        </is>
      </c>
      <c r="C20" s="25" t="n">
        <v>5370</v>
      </c>
      <c r="D20" s="25" t="n">
        <v>5826</v>
      </c>
      <c r="E20" s="25" t="n">
        <v>7068</v>
      </c>
      <c r="F20" s="25" t="n">
        <v>7285</v>
      </c>
    </row>
    <row r="21">
      <c r="A21" s="3" t="inlineStr">
        <is>
          <t>Diluted Average Shares</t>
        </is>
      </c>
      <c r="C21" s="25" t="n">
        <v>1080.981595</v>
      </c>
      <c r="D21" s="25" t="n">
        <v>1098</v>
      </c>
      <c r="E21" s="25" t="n">
        <v>1103.007519</v>
      </c>
      <c r="F21" s="25" t="n">
        <v>1107.397959</v>
      </c>
    </row>
    <row r="22">
      <c r="A22" s="3" t="inlineStr">
        <is>
          <t>Basic Average Shares</t>
        </is>
      </c>
      <c r="C22" s="25" t="n">
        <v>1075</v>
      </c>
      <c r="D22" s="25" t="n">
        <v>1092</v>
      </c>
      <c r="E22" s="25" t="n">
        <v>1096</v>
      </c>
      <c r="F22" s="25" t="n">
        <v>1103</v>
      </c>
    </row>
    <row r="23">
      <c r="A23" s="3" t="inlineStr">
        <is>
          <t>Diluted EPS</t>
        </is>
      </c>
      <c r="C23" s="25" t="n">
        <v>3.26e-06</v>
      </c>
      <c r="D23" s="25" t="n">
        <v>3.62e-06</v>
      </c>
      <c r="E23" s="25" t="n">
        <v>3.99e-06</v>
      </c>
      <c r="F23" s="25" t="n">
        <v>3.92e-06</v>
      </c>
    </row>
    <row r="24">
      <c r="A24" s="3" t="inlineStr">
        <is>
          <t>Basic EPS</t>
        </is>
      </c>
      <c r="C24" s="25" t="n">
        <v>3.28e-06</v>
      </c>
      <c r="D24" s="25" t="n">
        <v>3.64e-06</v>
      </c>
      <c r="E24" s="25" t="n">
        <v>4.05e-06</v>
      </c>
      <c r="F24" s="25" t="n">
        <v>4.299999999999999e-06</v>
      </c>
    </row>
    <row r="25">
      <c r="A25" s="3" t="inlineStr">
        <is>
          <t>Diluted NI Availto Com Stockholders</t>
        </is>
      </c>
      <c r="C25" s="25" t="n">
        <v>3524</v>
      </c>
      <c r="D25" s="25" t="n">
        <v>3976</v>
      </c>
      <c r="E25" s="25" t="n">
        <v>4401</v>
      </c>
      <c r="F25" s="25" t="n">
        <v>4341</v>
      </c>
    </row>
    <row r="26">
      <c r="A26" s="3" t="inlineStr">
        <is>
          <t>Net Income Common Stockholders</t>
        </is>
      </c>
      <c r="C26" s="25" t="n">
        <v>3524</v>
      </c>
      <c r="D26" s="25" t="n">
        <v>3976</v>
      </c>
      <c r="E26" s="25" t="n">
        <v>4401</v>
      </c>
      <c r="F26" s="25" t="n">
        <v>4341</v>
      </c>
    </row>
    <row r="27">
      <c r="A27" s="3" t="inlineStr">
        <is>
          <t>Preferred Stock Dividends</t>
        </is>
      </c>
      <c r="B27" s="25" t="n">
        <v>15</v>
      </c>
      <c r="C27" s="25" t="n">
        <v>11</v>
      </c>
    </row>
    <row r="28">
      <c r="A28" s="3" t="inlineStr">
        <is>
          <t>Net Income</t>
        </is>
      </c>
      <c r="C28" s="25" t="n">
        <v>3535</v>
      </c>
      <c r="D28" s="25" t="n">
        <v>3976</v>
      </c>
      <c r="E28" s="25" t="n">
        <v>4401</v>
      </c>
      <c r="F28" s="25" t="n">
        <v>4341</v>
      </c>
    </row>
    <row r="29">
      <c r="A29" s="3" t="inlineStr">
        <is>
          <t>Minority Interests</t>
        </is>
      </c>
      <c r="C29" s="25" t="n">
        <v>107</v>
      </c>
      <c r="D29" s="25" t="n">
        <v>127</v>
      </c>
      <c r="E29" s="25" t="n">
        <v>141</v>
      </c>
      <c r="F29" s="25" t="n">
        <v>170</v>
      </c>
    </row>
    <row r="30">
      <c r="A30" s="3" t="inlineStr">
        <is>
          <t>Net Income Including Noncontrolling Interests</t>
        </is>
      </c>
      <c r="C30" s="25" t="n">
        <v>3428</v>
      </c>
      <c r="D30" s="25" t="n">
        <v>3849</v>
      </c>
      <c r="E30" s="25" t="n">
        <v>4260</v>
      </c>
      <c r="F30" s="25" t="n">
        <v>4171</v>
      </c>
    </row>
    <row r="31">
      <c r="A31" s="3" t="inlineStr">
        <is>
          <t>Net Income Continuous Operations</t>
        </is>
      </c>
      <c r="C31" s="25" t="n">
        <v>3428</v>
      </c>
      <c r="D31" s="25" t="n">
        <v>3849</v>
      </c>
      <c r="E31" s="25" t="n">
        <v>4260</v>
      </c>
      <c r="F31" s="25" t="n">
        <v>4171</v>
      </c>
    </row>
    <row r="32">
      <c r="A32" s="3" t="inlineStr">
        <is>
          <t>Tax Provision</t>
        </is>
      </c>
      <c r="C32" s="25" t="n">
        <v>795</v>
      </c>
      <c r="D32" s="25" t="n">
        <v>496</v>
      </c>
      <c r="E32" s="25" t="n">
        <v>969</v>
      </c>
      <c r="F32" s="25" t="n">
        <v>828</v>
      </c>
    </row>
    <row r="33">
      <c r="A33" s="3" t="inlineStr">
        <is>
          <t>Pretax Income</t>
        </is>
      </c>
      <c r="C33" s="25" t="n">
        <v>4223</v>
      </c>
      <c r="D33" s="25" t="n">
        <v>4345</v>
      </c>
      <c r="E33" s="25" t="n">
        <v>5229</v>
      </c>
      <c r="F33" s="25" t="n">
        <v>4999</v>
      </c>
    </row>
    <row r="34">
      <c r="A34" s="3" t="inlineStr">
        <is>
          <t>Other Income Expense</t>
        </is>
      </c>
      <c r="C34" s="25" t="n">
        <v>875</v>
      </c>
      <c r="D34" s="25" t="n">
        <v>965</v>
      </c>
      <c r="E34" s="25" t="n">
        <v>904</v>
      </c>
      <c r="F34" s="25" t="n">
        <v>952</v>
      </c>
    </row>
    <row r="35">
      <c r="A35" s="3" t="inlineStr">
        <is>
          <t>Other Non Operating Income Expenses</t>
        </is>
      </c>
      <c r="C35" s="25" t="n">
        <v>500</v>
      </c>
      <c r="D35" s="25" t="n">
        <v>553</v>
      </c>
      <c r="E35" s="25" t="n">
        <v>530</v>
      </c>
      <c r="F35" s="25" t="n">
        <v>500</v>
      </c>
    </row>
    <row r="36">
      <c r="A36" s="3" t="inlineStr">
        <is>
          <t>Special Income Charges</t>
        </is>
      </c>
      <c r="C36" s="25" t="n">
        <v>224</v>
      </c>
      <c r="D36" s="25" t="n">
        <v>268</v>
      </c>
      <c r="E36" s="25" t="n">
        <v>235</v>
      </c>
      <c r="F36" s="25" t="n">
        <v>340</v>
      </c>
    </row>
    <row r="37">
      <c r="A37" s="3" t="inlineStr">
        <is>
          <t>Gain On Sale Of Business</t>
        </is>
      </c>
      <c r="B37" s="25" t="n">
        <v>186</v>
      </c>
      <c r="C37" s="25" t="n">
        <v>57</v>
      </c>
    </row>
    <row r="38">
      <c r="A38" s="3" t="inlineStr">
        <is>
          <t>Other Special Charges</t>
        </is>
      </c>
      <c r="C38" s="25" t="n">
        <v>-224</v>
      </c>
      <c r="D38" s="25" t="n">
        <v>-268</v>
      </c>
      <c r="E38" s="25" t="n">
        <v>-235</v>
      </c>
      <c r="F38" s="25" t="n">
        <v>-340</v>
      </c>
    </row>
    <row r="39">
      <c r="A39" s="3" t="inlineStr">
        <is>
          <t>Write Off</t>
        </is>
      </c>
      <c r="B39" s="25" t="n">
        <v>2</v>
      </c>
      <c r="C39" s="25" t="n">
        <v>251</v>
      </c>
      <c r="D39" s="25" t="n">
        <v>0</v>
      </c>
    </row>
    <row r="40">
      <c r="A40" s="3" t="inlineStr">
        <is>
          <t>Impairment Of Capital Assets</t>
        </is>
      </c>
      <c r="B40" s="25" t="n">
        <v>7</v>
      </c>
      <c r="C40" s="25" t="n">
        <v>0</v>
      </c>
    </row>
    <row r="41">
      <c r="A41" s="3" t="inlineStr">
        <is>
          <t>Earnings From Equity Interest</t>
        </is>
      </c>
      <c r="C41" s="25" t="n">
        <v>151</v>
      </c>
      <c r="D41" s="25" t="n">
        <v>144</v>
      </c>
      <c r="E41" s="25" t="n">
        <v>139</v>
      </c>
      <c r="F41" s="25" t="n">
        <v>112</v>
      </c>
    </row>
    <row r="42">
      <c r="A42" s="3" t="inlineStr">
        <is>
          <t>Net Non Operating Interest Income Expense</t>
        </is>
      </c>
      <c r="C42" s="25" t="n">
        <v>-2022</v>
      </c>
      <c r="D42" s="25" t="n">
        <v>-2446</v>
      </c>
      <c r="E42" s="25" t="n">
        <v>-2743</v>
      </c>
      <c r="F42" s="25" t="n">
        <v>-3238</v>
      </c>
    </row>
    <row r="43">
      <c r="A43" s="3" t="inlineStr">
        <is>
          <t>Interest Expense Non Operating</t>
        </is>
      </c>
      <c r="C43" s="25" t="n">
        <v>2022</v>
      </c>
      <c r="D43" s="25" t="n">
        <v>2446</v>
      </c>
      <c r="E43" s="25" t="n">
        <v>2743</v>
      </c>
      <c r="F43" s="25" t="n">
        <v>3238</v>
      </c>
    </row>
    <row r="44">
      <c r="A44" s="3" t="inlineStr">
        <is>
          <t>Operating Income</t>
        </is>
      </c>
      <c r="C44" s="25" t="n">
        <v>5370</v>
      </c>
      <c r="D44" s="25" t="n">
        <v>5826</v>
      </c>
      <c r="E44" s="25" t="n">
        <v>7068</v>
      </c>
      <c r="F44" s="25" t="n">
        <v>7285</v>
      </c>
    </row>
    <row r="45">
      <c r="A45" s="3" t="inlineStr">
        <is>
          <t>Operating Expense</t>
        </is>
      </c>
      <c r="C45" s="25" t="n">
        <v>5257</v>
      </c>
      <c r="D45" s="25" t="n">
        <v>5950</v>
      </c>
      <c r="E45" s="25" t="n">
        <v>6295</v>
      </c>
      <c r="F45" s="25" t="n">
        <v>7039</v>
      </c>
    </row>
    <row r="46">
      <c r="A46" s="3" t="inlineStr">
        <is>
          <t>Other Operating Expenses</t>
        </is>
      </c>
      <c r="B46" s="25" t="n">
        <v>1692</v>
      </c>
      <c r="C46" s="25" t="n">
        <v>183</v>
      </c>
      <c r="D46" s="25" t="n">
        <v>-68</v>
      </c>
      <c r="E46" s="25" t="n">
        <v>-21</v>
      </c>
    </row>
    <row r="47">
      <c r="A47" s="3" t="inlineStr">
        <is>
          <t>Other Taxes</t>
        </is>
      </c>
      <c r="C47" s="25" t="n">
        <v>1411</v>
      </c>
      <c r="D47" s="25" t="n">
        <v>1425</v>
      </c>
      <c r="E47" s="25" t="n">
        <v>1540</v>
      </c>
      <c r="F47" s="25" t="n">
        <v>1538</v>
      </c>
    </row>
    <row r="48">
      <c r="A48" s="3" t="inlineStr">
        <is>
          <t>Depreciation Amortization Depletion Income Statement</t>
        </is>
      </c>
      <c r="C48" s="25" t="n">
        <v>3663</v>
      </c>
      <c r="D48" s="25" t="n">
        <v>4525</v>
      </c>
      <c r="E48" s="25" t="n">
        <v>4755</v>
      </c>
      <c r="F48" s="25" t="n">
        <v>5501</v>
      </c>
    </row>
    <row r="49">
      <c r="A49" s="3" t="inlineStr">
        <is>
          <t>Depreciation And Amortization In Income Statement</t>
        </is>
      </c>
      <c r="C49" s="25" t="n">
        <v>3663</v>
      </c>
      <c r="D49" s="25" t="n">
        <v>4525</v>
      </c>
      <c r="E49" s="25" t="n">
        <v>4755</v>
      </c>
      <c r="F49" s="25" t="n">
        <v>5501</v>
      </c>
    </row>
    <row r="50">
      <c r="A50" s="3" t="inlineStr">
        <is>
          <t>Gross Profit</t>
        </is>
      </c>
      <c r="C50" s="25" t="n">
        <v>10627</v>
      </c>
      <c r="D50" s="25" t="n">
        <v>11776</v>
      </c>
      <c r="E50" s="25" t="n">
        <v>13363</v>
      </c>
      <c r="F50" s="25" t="n">
        <v>14324</v>
      </c>
    </row>
    <row r="51">
      <c r="A51" s="3" t="inlineStr">
        <is>
          <t>Cost Of Revenue</t>
        </is>
      </c>
      <c r="C51" s="25" t="n">
        <v>18652</v>
      </c>
      <c r="D51" s="25" t="n">
        <v>13477</v>
      </c>
      <c r="E51" s="25" t="n">
        <v>13361</v>
      </c>
      <c r="F51" s="25" t="n">
        <v>15229</v>
      </c>
    </row>
    <row r="52">
      <c r="A52" s="3" t="inlineStr">
        <is>
          <t>Total Revenue</t>
        </is>
      </c>
      <c r="C52" s="25" t="n">
        <v>29279</v>
      </c>
      <c r="D52" s="25" t="n">
        <v>25253</v>
      </c>
      <c r="E52" s="25" t="n">
        <v>26724</v>
      </c>
      <c r="F52" s="25" t="n">
        <v>29553</v>
      </c>
    </row>
    <row r="53">
      <c r="A53" s="3" t="inlineStr">
        <is>
          <t>Operating Revenue</t>
        </is>
      </c>
      <c r="C53" s="25" t="n">
        <v>28547</v>
      </c>
      <c r="D53" s="25" t="n">
        <v>24304</v>
      </c>
      <c r="E53" s="25" t="n">
        <v>25573</v>
      </c>
      <c r="F53" s="25" t="n">
        <v>28269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1</v>
      </c>
      <c r="D5" s="25" t="n">
        <v>1</v>
      </c>
      <c r="E5" s="25" t="n">
        <v>1</v>
      </c>
      <c r="F5" s="25" t="n">
        <v>1</v>
      </c>
    </row>
    <row r="6">
      <c r="A6" s="3" t="inlineStr">
        <is>
          <t>Ordinary Shares Number</t>
        </is>
      </c>
      <c r="C6" s="25" t="n">
        <v>1099</v>
      </c>
      <c r="D6" s="25" t="n">
        <v>1090.814507</v>
      </c>
      <c r="E6" s="25" t="n">
        <v>1099</v>
      </c>
      <c r="F6" s="25" t="n">
        <v>1119.237015</v>
      </c>
    </row>
    <row r="7">
      <c r="A7" s="3" t="inlineStr">
        <is>
          <t>Share Issued</t>
        </is>
      </c>
      <c r="C7" s="25" t="n">
        <v>1100</v>
      </c>
      <c r="D7" s="25" t="n">
        <v>1091.814507</v>
      </c>
      <c r="E7" s="25" t="n">
        <v>1100</v>
      </c>
      <c r="F7" s="25" t="n">
        <v>1120.237015</v>
      </c>
    </row>
    <row r="8">
      <c r="A8" s="3" t="inlineStr">
        <is>
          <t>Net Debt</t>
        </is>
      </c>
      <c r="C8" s="25" t="n">
        <v>55633</v>
      </c>
      <c r="D8" s="25" t="n">
        <v>61252</v>
      </c>
      <c r="E8" s="25" t="n">
        <v>63754</v>
      </c>
      <c r="F8" s="25" t="n">
        <v>70952</v>
      </c>
    </row>
    <row r="9">
      <c r="A9" s="3" t="inlineStr">
        <is>
          <t>Total Debt</t>
        </is>
      </c>
      <c r="C9" s="25" t="n">
        <v>59135</v>
      </c>
      <c r="D9" s="25" t="n">
        <v>63490</v>
      </c>
      <c r="E9" s="25" t="n">
        <v>66277</v>
      </c>
      <c r="F9" s="25" t="n">
        <v>74075</v>
      </c>
    </row>
    <row r="10">
      <c r="A10" s="3" t="inlineStr">
        <is>
          <t>Tangible Book Value</t>
        </is>
      </c>
      <c r="C10" s="25" t="n">
        <v>24841</v>
      </c>
      <c r="D10" s="25" t="n">
        <v>25915</v>
      </c>
      <c r="E10" s="25" t="n">
        <v>27715</v>
      </c>
      <c r="F10" s="25" t="n">
        <v>30555</v>
      </c>
    </row>
    <row r="11">
      <c r="A11" s="3" t="inlineStr">
        <is>
          <t>Invested Capital</t>
        </is>
      </c>
      <c r="C11" s="25" t="n">
        <v>87958</v>
      </c>
      <c r="D11" s="25" t="n">
        <v>93444</v>
      </c>
      <c r="E11" s="25" t="n">
        <v>98032</v>
      </c>
      <c r="F11" s="25" t="n">
        <v>108607</v>
      </c>
    </row>
    <row r="12">
      <c r="A12" s="3" t="inlineStr">
        <is>
          <t>Working Capital</t>
        </is>
      </c>
      <c r="C12" s="25" t="n">
        <v>-5308</v>
      </c>
      <c r="D12" s="25" t="n">
        <v>-3035</v>
      </c>
      <c r="E12" s="25" t="n">
        <v>-5299</v>
      </c>
      <c r="F12" s="25" t="n">
        <v>-5971</v>
      </c>
    </row>
    <row r="13">
      <c r="A13" s="3" t="inlineStr">
        <is>
          <t>Net Tangible Assets</t>
        </is>
      </c>
      <c r="C13" s="25" t="n">
        <v>24841</v>
      </c>
      <c r="D13" s="25" t="n">
        <v>25915</v>
      </c>
      <c r="E13" s="25" t="n">
        <v>27715</v>
      </c>
      <c r="F13" s="25" t="n">
        <v>30555</v>
      </c>
    </row>
    <row r="14">
      <c r="A14" s="3" t="inlineStr">
        <is>
          <t>Capital Lease Obligations</t>
        </is>
      </c>
      <c r="C14" s="25" t="n">
        <v>1585</v>
      </c>
      <c r="D14" s="25" t="n">
        <v>1490</v>
      </c>
      <c r="E14" s="25" t="n">
        <v>1453</v>
      </c>
      <c r="F14" s="25" t="n">
        <v>1484</v>
      </c>
    </row>
    <row r="15">
      <c r="A15" s="3" t="inlineStr">
        <is>
          <t>Common Stock Equity</t>
        </is>
      </c>
      <c r="C15" s="25" t="n">
        <v>30408</v>
      </c>
      <c r="D15" s="25" t="n">
        <v>31444</v>
      </c>
      <c r="E15" s="25" t="n">
        <v>33208</v>
      </c>
      <c r="F15" s="25" t="n">
        <v>36016</v>
      </c>
    </row>
    <row r="16">
      <c r="A16" s="3" t="inlineStr">
        <is>
          <t>Preferred Stock Equity</t>
        </is>
      </c>
      <c r="B16" s="25" t="n">
        <v>291</v>
      </c>
    </row>
    <row r="17">
      <c r="A17" s="3" t="inlineStr">
        <is>
          <t>Total Capitalization</t>
        </is>
      </c>
      <c r="C17" s="25" t="n">
        <v>81064</v>
      </c>
      <c r="D17" s="25" t="n">
        <v>88654</v>
      </c>
      <c r="E17" s="25" t="n">
        <v>91976</v>
      </c>
      <c r="F17" s="25" t="n">
        <v>101665</v>
      </c>
    </row>
    <row r="18">
      <c r="A18" s="3" t="inlineStr">
        <is>
          <t>Total Equity Gross Minority Interest</t>
        </is>
      </c>
      <c r="C18" s="25" t="n">
        <v>34532</v>
      </c>
      <c r="D18" s="25" t="n">
        <v>35225</v>
      </c>
      <c r="E18" s="25" t="n">
        <v>36674</v>
      </c>
      <c r="F18" s="25" t="n">
        <v>38867</v>
      </c>
    </row>
    <row r="19">
      <c r="A19" s="3" t="inlineStr">
        <is>
          <t>Minority Interest</t>
        </is>
      </c>
      <c r="C19" s="25" t="n">
        <v>4124</v>
      </c>
      <c r="D19" s="25" t="n">
        <v>3781</v>
      </c>
      <c r="E19" s="25" t="n">
        <v>3466</v>
      </c>
      <c r="F19" s="25" t="n">
        <v>2851</v>
      </c>
    </row>
    <row r="20">
      <c r="A20" s="3" t="inlineStr">
        <is>
          <t>Stockholders Equity</t>
        </is>
      </c>
      <c r="C20" s="25" t="n">
        <v>30408</v>
      </c>
      <c r="D20" s="25" t="n">
        <v>31444</v>
      </c>
      <c r="E20" s="25" t="n">
        <v>33208</v>
      </c>
      <c r="F20" s="25" t="n">
        <v>36016</v>
      </c>
    </row>
    <row r="21">
      <c r="A21" s="3" t="inlineStr">
        <is>
          <t>Gains Losses Not Affecting Retained Earnings</t>
        </is>
      </c>
      <c r="C21" s="25" t="n">
        <v>-167</v>
      </c>
      <c r="D21" s="25" t="n">
        <v>-177</v>
      </c>
      <c r="E21" s="25" t="n">
        <v>-78</v>
      </c>
      <c r="F21" s="25" t="n">
        <v>-75</v>
      </c>
    </row>
    <row r="22">
      <c r="A22" s="3" t="inlineStr">
        <is>
          <t>Other Equity Adjustments</t>
        </is>
      </c>
      <c r="C22" s="25" t="n">
        <v>-167</v>
      </c>
      <c r="D22" s="25" t="n">
        <v>-177</v>
      </c>
      <c r="E22" s="25" t="n">
        <v>-78</v>
      </c>
      <c r="F22" s="25" t="n">
        <v>-75</v>
      </c>
    </row>
    <row r="23">
      <c r="A23" s="3" t="inlineStr">
        <is>
          <t>Treasury Stock</t>
        </is>
      </c>
      <c r="C23" s="25" t="n">
        <v>53</v>
      </c>
      <c r="D23" s="25" t="n">
        <v>59</v>
      </c>
      <c r="E23" s="25" t="n">
        <v>59</v>
      </c>
      <c r="F23" s="25" t="n">
        <v>59</v>
      </c>
    </row>
    <row r="24">
      <c r="A24" s="3" t="inlineStr">
        <is>
          <t>Retained Earnings</t>
        </is>
      </c>
      <c r="C24" s="25" t="n">
        <v>11538</v>
      </c>
      <c r="D24" s="25" t="n">
        <v>12482</v>
      </c>
      <c r="E24" s="25" t="n">
        <v>13750</v>
      </c>
      <c r="F24" s="25" t="n">
        <v>14856</v>
      </c>
    </row>
    <row r="25">
      <c r="A25" s="3" t="inlineStr">
        <is>
          <t>Additional Paid In Capital</t>
        </is>
      </c>
      <c r="C25" s="25" t="n">
        <v>13673</v>
      </c>
      <c r="D25" s="25" t="n">
        <v>13775</v>
      </c>
      <c r="E25" s="25" t="n">
        <v>14149</v>
      </c>
      <c r="F25" s="25" t="n">
        <v>15740</v>
      </c>
    </row>
    <row r="26">
      <c r="A26" s="3" t="inlineStr">
        <is>
          <t>Capital Stock</t>
        </is>
      </c>
      <c r="C26" s="25" t="n">
        <v>5417</v>
      </c>
      <c r="D26" s="25" t="n">
        <v>5423</v>
      </c>
      <c r="E26" s="25" t="n">
        <v>5446</v>
      </c>
      <c r="F26" s="25" t="n">
        <v>5554</v>
      </c>
    </row>
    <row r="27">
      <c r="A27" s="3" t="inlineStr">
        <is>
          <t>Common Stock</t>
        </is>
      </c>
      <c r="C27" s="25" t="n">
        <v>5417</v>
      </c>
      <c r="D27" s="25" t="n">
        <v>5423</v>
      </c>
      <c r="E27" s="25" t="n">
        <v>5446</v>
      </c>
      <c r="F27" s="25" t="n">
        <v>5554</v>
      </c>
    </row>
    <row r="28">
      <c r="A28" s="3" t="inlineStr">
        <is>
          <t>Preferred Stock</t>
        </is>
      </c>
      <c r="B28" s="25" t="n">
        <v>291</v>
      </c>
      <c r="C28" s="25" t="n">
        <v>0</v>
      </c>
    </row>
    <row r="29">
      <c r="A29" s="3" t="inlineStr">
        <is>
          <t>Total Liabilities Net Minority Interest</t>
        </is>
      </c>
      <c r="C29" s="25" t="n">
        <v>100359</v>
      </c>
      <c r="D29" s="25" t="n">
        <v>104106</v>
      </c>
      <c r="E29" s="25" t="n">
        <v>108506</v>
      </c>
      <c r="F29" s="25" t="n">
        <v>116853</v>
      </c>
    </row>
    <row r="30">
      <c r="A30" s="3" t="inlineStr">
        <is>
          <t>Total Non Current Liabilities Net Minority Interest</t>
        </is>
      </c>
      <c r="C30" s="25" t="n">
        <v>84635</v>
      </c>
      <c r="D30" s="25" t="n">
        <v>90639</v>
      </c>
      <c r="E30" s="25" t="n">
        <v>92513</v>
      </c>
      <c r="F30" s="25" t="n">
        <v>99965</v>
      </c>
    </row>
    <row r="31">
      <c r="A31" s="3" t="inlineStr">
        <is>
          <t>Other Non Current Liabilities</t>
        </is>
      </c>
      <c r="C31" s="25" t="n">
        <v>1903</v>
      </c>
      <c r="D31" s="25" t="n">
        <v>1957</v>
      </c>
      <c r="E31" s="25" t="n">
        <v>2016</v>
      </c>
      <c r="F31" s="25" t="n">
        <v>2036</v>
      </c>
    </row>
    <row r="32">
      <c r="A32" s="3" t="inlineStr">
        <is>
          <t>Employee Benefits</t>
        </is>
      </c>
      <c r="C32" s="25" t="n">
        <v>1238</v>
      </c>
      <c r="D32" s="25" t="n">
        <v>1115</v>
      </c>
      <c r="E32" s="25" t="n">
        <v>1011</v>
      </c>
      <c r="F32" s="25" t="n">
        <v>980</v>
      </c>
    </row>
    <row r="33">
      <c r="A33" s="3" t="inlineStr">
        <is>
          <t>Non Current Deferred Liabilities</t>
        </is>
      </c>
      <c r="C33" s="25" t="n">
        <v>18571</v>
      </c>
      <c r="D33" s="25" t="n">
        <v>18762</v>
      </c>
      <c r="E33" s="25" t="n">
        <v>19570</v>
      </c>
      <c r="F33" s="25" t="n">
        <v>20352</v>
      </c>
    </row>
    <row r="34">
      <c r="A34" s="3" t="inlineStr">
        <is>
          <t>Non Current Deferred Taxes Liabilities</t>
        </is>
      </c>
      <c r="C34" s="25" t="n">
        <v>17404</v>
      </c>
      <c r="D34" s="25" t="n">
        <v>17731</v>
      </c>
      <c r="E34" s="25" t="n">
        <v>18220</v>
      </c>
      <c r="F34" s="25" t="n">
        <v>18847</v>
      </c>
    </row>
    <row r="35">
      <c r="A35" s="3" t="inlineStr">
        <is>
          <t>Long Term Debt And Capital Lease Obligation</t>
        </is>
      </c>
      <c r="C35" s="25" t="n">
        <v>52044</v>
      </c>
      <c r="D35" s="25" t="n">
        <v>58517</v>
      </c>
      <c r="E35" s="25" t="n">
        <v>60021</v>
      </c>
      <c r="F35" s="25" t="n">
        <v>66936</v>
      </c>
    </row>
    <row r="36">
      <c r="A36" s="3" t="inlineStr">
        <is>
          <t>Long Term Capital Lease Obligation</t>
        </is>
      </c>
      <c r="C36" s="25" t="n">
        <v>1388</v>
      </c>
      <c r="D36" s="25" t="n">
        <v>1307</v>
      </c>
      <c r="E36" s="25" t="n">
        <v>1253</v>
      </c>
      <c r="F36" s="25" t="n">
        <v>1287</v>
      </c>
    </row>
    <row r="37">
      <c r="A37" s="3" t="inlineStr">
        <is>
          <t>Long Term Debt</t>
        </is>
      </c>
      <c r="C37" s="25" t="n">
        <v>50656</v>
      </c>
      <c r="D37" s="25" t="n">
        <v>57210</v>
      </c>
      <c r="E37" s="25" t="n">
        <v>58768</v>
      </c>
      <c r="F37" s="25" t="n">
        <v>65649</v>
      </c>
    </row>
    <row r="38">
      <c r="A38" s="3" t="inlineStr">
        <is>
          <t>Long Term Provisions</t>
        </is>
      </c>
      <c r="C38" s="25" t="n">
        <v>10146</v>
      </c>
      <c r="D38" s="25" t="n">
        <v>9573</v>
      </c>
      <c r="E38" s="25" t="n">
        <v>9203</v>
      </c>
      <c r="F38" s="25" t="n">
        <v>8939</v>
      </c>
    </row>
    <row r="39">
      <c r="A39" s="3" t="inlineStr">
        <is>
          <t>Current Liabilities</t>
        </is>
      </c>
      <c r="C39" s="25" t="n">
        <v>15724</v>
      </c>
      <c r="D39" s="25" t="n">
        <v>13467</v>
      </c>
      <c r="E39" s="25" t="n">
        <v>15993</v>
      </c>
      <c r="F39" s="25" t="n">
        <v>16888</v>
      </c>
    </row>
    <row r="40">
      <c r="A40" s="3" t="inlineStr">
        <is>
          <t>Other Current Liabilities</t>
        </is>
      </c>
      <c r="C40" s="25" t="n">
        <v>1347</v>
      </c>
      <c r="D40" s="25" t="n">
        <v>1678</v>
      </c>
      <c r="E40" s="25" t="n">
        <v>1822</v>
      </c>
      <c r="F40" s="25" t="n">
        <v>1673</v>
      </c>
    </row>
    <row r="41">
      <c r="A41" s="3" t="inlineStr">
        <is>
          <t>Current Deferred Liabilities</t>
        </is>
      </c>
      <c r="C41" s="25" t="n">
        <v>502</v>
      </c>
      <c r="D41" s="25" t="n">
        <v>503</v>
      </c>
      <c r="E41" s="25" t="n">
        <v>486</v>
      </c>
      <c r="F41" s="25" t="n">
        <v>475</v>
      </c>
    </row>
    <row r="42">
      <c r="A42" s="3" t="inlineStr">
        <is>
          <t>Current Deferred Revenue</t>
        </is>
      </c>
      <c r="C42" s="25" t="n">
        <v>502</v>
      </c>
      <c r="D42" s="25" t="n">
        <v>503</v>
      </c>
      <c r="E42" s="25" t="n">
        <v>486</v>
      </c>
      <c r="F42" s="25" t="n">
        <v>475</v>
      </c>
    </row>
    <row r="43">
      <c r="A43" s="3" t="inlineStr">
        <is>
          <t>Current Debt And Capital Lease Obligation</t>
        </is>
      </c>
      <c r="C43" s="25" t="n">
        <v>7091</v>
      </c>
      <c r="D43" s="25" t="n">
        <v>4973</v>
      </c>
      <c r="E43" s="25" t="n">
        <v>6256</v>
      </c>
      <c r="F43" s="25" t="n">
        <v>7139</v>
      </c>
    </row>
    <row r="44">
      <c r="A44" s="3" t="inlineStr">
        <is>
          <t>Current Capital Lease Obligation</t>
        </is>
      </c>
      <c r="C44" s="25" t="n">
        <v>197</v>
      </c>
      <c r="D44" s="25" t="n">
        <v>183</v>
      </c>
      <c r="E44" s="25" t="n">
        <v>200</v>
      </c>
      <c r="F44" s="25" t="n">
        <v>197</v>
      </c>
    </row>
    <row r="45">
      <c r="A45" s="3" t="inlineStr">
        <is>
          <t>Current Debt</t>
        </is>
      </c>
      <c r="C45" s="25" t="n">
        <v>6894</v>
      </c>
      <c r="D45" s="25" t="n">
        <v>4790</v>
      </c>
      <c r="E45" s="25" t="n">
        <v>6056</v>
      </c>
      <c r="F45" s="25" t="n">
        <v>6942</v>
      </c>
    </row>
    <row r="46">
      <c r="A46" s="3" t="inlineStr">
        <is>
          <t>Other Current Borrowings</t>
        </is>
      </c>
      <c r="C46" s="25" t="n">
        <v>4285</v>
      </c>
      <c r="D46" s="25" t="n">
        <v>2476</v>
      </c>
      <c r="E46" s="25" t="n">
        <v>4718</v>
      </c>
      <c r="F46" s="25" t="n">
        <v>6220</v>
      </c>
    </row>
    <row r="47">
      <c r="A47" s="3" t="inlineStr">
        <is>
          <t>Current Notes Payable</t>
        </is>
      </c>
      <c r="C47" s="25" t="n">
        <v>2609</v>
      </c>
      <c r="D47" s="25" t="n">
        <v>2314</v>
      </c>
      <c r="E47" s="25" t="n">
        <v>1338</v>
      </c>
      <c r="F47" s="25" t="n">
        <v>722</v>
      </c>
    </row>
    <row r="48">
      <c r="A48" s="3" t="inlineStr">
        <is>
          <t>Pensionand Other Post Retirement Benefit Plans Current</t>
        </is>
      </c>
      <c r="C48" s="25" t="n">
        <v>1127</v>
      </c>
      <c r="D48" s="25" t="n">
        <v>1151</v>
      </c>
      <c r="E48" s="25" t="n">
        <v>1261</v>
      </c>
      <c r="F48" s="25" t="n">
        <v>1418</v>
      </c>
    </row>
    <row r="49">
      <c r="A49" s="3" t="inlineStr">
        <is>
          <t>Current Provisions</t>
        </is>
      </c>
      <c r="C49" s="25" t="n">
        <v>694</v>
      </c>
      <c r="D49" s="25" t="n">
        <v>744</v>
      </c>
      <c r="E49" s="25" t="n">
        <v>731</v>
      </c>
      <c r="F49" s="25" t="n">
        <v>662</v>
      </c>
    </row>
    <row r="50">
      <c r="A50" s="3" t="inlineStr">
        <is>
          <t>Payables And Accrued Expenses</t>
        </is>
      </c>
      <c r="C50" s="25" t="n">
        <v>4963</v>
      </c>
      <c r="D50" s="25" t="n">
        <v>4418</v>
      </c>
      <c r="E50" s="25" t="n">
        <v>5437</v>
      </c>
      <c r="F50" s="25" t="n">
        <v>5521</v>
      </c>
    </row>
    <row r="51">
      <c r="A51" s="3" t="inlineStr">
        <is>
          <t>Current Accrued Expenses</t>
        </is>
      </c>
      <c r="C51" s="25" t="n">
        <v>614</v>
      </c>
      <c r="D51" s="25" t="n">
        <v>652</v>
      </c>
      <c r="E51" s="25" t="n">
        <v>682</v>
      </c>
      <c r="F51" s="25" t="n">
        <v>807</v>
      </c>
    </row>
    <row r="52">
      <c r="A52" s="3" t="inlineStr">
        <is>
          <t>Interest Payable</t>
        </is>
      </c>
      <c r="C52" s="25" t="n">
        <v>614</v>
      </c>
      <c r="D52" s="25" t="n">
        <v>652</v>
      </c>
      <c r="E52" s="25" t="n">
        <v>682</v>
      </c>
      <c r="F52" s="25" t="n">
        <v>807</v>
      </c>
    </row>
    <row r="53">
      <c r="A53" s="3" t="inlineStr">
        <is>
          <t>Payables</t>
        </is>
      </c>
      <c r="C53" s="25" t="n">
        <v>4349</v>
      </c>
      <c r="D53" s="25" t="n">
        <v>3766</v>
      </c>
      <c r="E53" s="25" t="n">
        <v>4755</v>
      </c>
      <c r="F53" s="25" t="n">
        <v>4714</v>
      </c>
    </row>
    <row r="54">
      <c r="A54" s="3" t="inlineStr">
        <is>
          <t>Total Tax Payable</t>
        </is>
      </c>
      <c r="C54" s="25" t="n">
        <v>824</v>
      </c>
      <c r="D54" s="25" t="n">
        <v>868</v>
      </c>
      <c r="E54" s="25" t="n">
        <v>1054</v>
      </c>
      <c r="F54" s="25" t="n">
        <v>1004</v>
      </c>
    </row>
    <row r="55">
      <c r="A55" s="3" t="inlineStr">
        <is>
          <t>Income Tax Payable</t>
        </is>
      </c>
      <c r="C55" s="25" t="n">
        <v>60</v>
      </c>
      <c r="D55" s="25" t="n">
        <v>8</v>
      </c>
      <c r="E55" s="25" t="n">
        <v>57</v>
      </c>
      <c r="F55" s="25" t="n">
        <v>22</v>
      </c>
    </row>
    <row r="56">
      <c r="A56" s="3" t="inlineStr">
        <is>
          <t>Accounts Payable</t>
        </is>
      </c>
      <c r="C56" s="25" t="n">
        <v>3525</v>
      </c>
      <c r="D56" s="25" t="n">
        <v>2898</v>
      </c>
      <c r="E56" s="25" t="n">
        <v>3701</v>
      </c>
      <c r="F56" s="25" t="n">
        <v>3710</v>
      </c>
    </row>
    <row r="57">
      <c r="A57" s="3" t="inlineStr">
        <is>
          <t>Total Assets</t>
        </is>
      </c>
      <c r="C57" s="25" t="n">
        <v>134891</v>
      </c>
      <c r="D57" s="25" t="n">
        <v>139331</v>
      </c>
      <c r="E57" s="25" t="n">
        <v>145180</v>
      </c>
      <c r="F57" s="25" t="n">
        <v>155720</v>
      </c>
    </row>
    <row r="58">
      <c r="A58" s="3" t="inlineStr">
        <is>
          <t>Total Non Current Assets</t>
        </is>
      </c>
      <c r="C58" s="25" t="n">
        <v>124475</v>
      </c>
      <c r="D58" s="25" t="n">
        <v>128899</v>
      </c>
      <c r="E58" s="25" t="n">
        <v>134486</v>
      </c>
      <c r="F58" s="25" t="n">
        <v>144803</v>
      </c>
    </row>
    <row r="59">
      <c r="A59" s="3" t="inlineStr">
        <is>
          <t>Non Current Prepaid Assets</t>
        </is>
      </c>
      <c r="C59" s="25" t="n">
        <v>2290</v>
      </c>
      <c r="D59" s="25" t="n">
        <v>2079</v>
      </c>
      <c r="E59" s="25" t="n">
        <v>2674</v>
      </c>
      <c r="F59" s="25" t="n">
        <v>3257</v>
      </c>
    </row>
    <row r="60">
      <c r="A60" s="3" t="inlineStr">
        <is>
          <t>Non Current Deferred Assets</t>
        </is>
      </c>
      <c r="C60" s="25" t="n">
        <v>4645</v>
      </c>
      <c r="D60" s="25" t="n">
        <v>3835</v>
      </c>
      <c r="E60" s="25" t="n">
        <v>3044</v>
      </c>
      <c r="F60" s="25" t="n">
        <v>2823</v>
      </c>
    </row>
    <row r="61">
      <c r="A61" s="3" t="inlineStr">
        <is>
          <t>Investments And Advances</t>
        </is>
      </c>
      <c r="C61" s="25" t="n">
        <v>3588</v>
      </c>
      <c r="D61" s="25" t="n">
        <v>3792</v>
      </c>
      <c r="E61" s="25" t="n">
        <v>4037</v>
      </c>
      <c r="F61" s="25" t="n">
        <v>4265</v>
      </c>
    </row>
    <row r="62">
      <c r="A62" s="3" t="inlineStr">
        <is>
          <t>Other Investments</t>
        </is>
      </c>
      <c r="C62" s="25" t="n">
        <v>2145</v>
      </c>
      <c r="D62" s="25" t="n">
        <v>2424</v>
      </c>
      <c r="E62" s="25" t="n">
        <v>2621</v>
      </c>
      <c r="F62" s="25" t="n">
        <v>2947</v>
      </c>
    </row>
    <row r="63">
      <c r="A63" s="3" t="inlineStr">
        <is>
          <t>Long Term Equity Investment</t>
        </is>
      </c>
      <c r="C63" s="25" t="n">
        <v>1443</v>
      </c>
      <c r="D63" s="25" t="n">
        <v>1368</v>
      </c>
      <c r="E63" s="25" t="n">
        <v>1416</v>
      </c>
      <c r="F63" s="25" t="n">
        <v>1318</v>
      </c>
    </row>
    <row r="64">
      <c r="A64" s="3" t="inlineStr">
        <is>
          <t>Investmentsin Subsidiariesat Cost</t>
        </is>
      </c>
      <c r="C64" s="25" t="n">
        <v>1443</v>
      </c>
      <c r="D64" s="25" t="n">
        <v>1368</v>
      </c>
      <c r="E64" s="25" t="n">
        <v>1416</v>
      </c>
      <c r="F64" s="25" t="n">
        <v>1318</v>
      </c>
    </row>
    <row r="65">
      <c r="A65" s="3" t="inlineStr">
        <is>
          <t>Goodwill And Other Intangible Assets</t>
        </is>
      </c>
      <c r="C65" s="25" t="n">
        <v>5567</v>
      </c>
      <c r="D65" s="25" t="n">
        <v>5529</v>
      </c>
      <c r="E65" s="25" t="n">
        <v>5493</v>
      </c>
      <c r="F65" s="25" t="n">
        <v>5461</v>
      </c>
    </row>
    <row r="66">
      <c r="A66" s="3" t="inlineStr">
        <is>
          <t>Other Intangible Assets</t>
        </is>
      </c>
      <c r="C66" s="25" t="n">
        <v>406</v>
      </c>
      <c r="D66" s="25" t="n">
        <v>368</v>
      </c>
      <c r="E66" s="25" t="n">
        <v>332</v>
      </c>
      <c r="F66" s="25" t="n">
        <v>300</v>
      </c>
    </row>
    <row r="67">
      <c r="A67" s="3" t="inlineStr">
        <is>
          <t>Goodwill</t>
        </is>
      </c>
      <c r="C67" s="25" t="n">
        <v>5161</v>
      </c>
      <c r="D67" s="25" t="n">
        <v>5161</v>
      </c>
      <c r="E67" s="25" t="n">
        <v>5161</v>
      </c>
      <c r="F67" s="25" t="n">
        <v>5161</v>
      </c>
    </row>
    <row r="68">
      <c r="A68" s="3" t="inlineStr">
        <is>
          <t>Net PPE</t>
        </is>
      </c>
      <c r="C68" s="25" t="n">
        <v>96703</v>
      </c>
      <c r="D68" s="25" t="n">
        <v>101941</v>
      </c>
      <c r="E68" s="25" t="n">
        <v>106743</v>
      </c>
      <c r="F68" s="25" t="n">
        <v>116441</v>
      </c>
    </row>
    <row r="69">
      <c r="A69" s="3" t="inlineStr">
        <is>
          <t>Accumulated Depreciation</t>
        </is>
      </c>
      <c r="C69" s="25" t="n">
        <v>-35297</v>
      </c>
      <c r="D69" s="25" t="n">
        <v>-37725</v>
      </c>
      <c r="E69" s="25" t="n">
        <v>-40126</v>
      </c>
      <c r="F69" s="25" t="n">
        <v>-43483</v>
      </c>
    </row>
    <row r="70">
      <c r="A70" s="3" t="inlineStr">
        <is>
          <t>Gross PPE</t>
        </is>
      </c>
      <c r="C70" s="25" t="n">
        <v>132000</v>
      </c>
      <c r="D70" s="25" t="n">
        <v>139666</v>
      </c>
      <c r="E70" s="25" t="n">
        <v>146869</v>
      </c>
      <c r="F70" s="25" t="n">
        <v>159924</v>
      </c>
    </row>
    <row r="71">
      <c r="A71" s="3" t="inlineStr">
        <is>
          <t>Construction In Progress</t>
        </is>
      </c>
      <c r="C71" s="25" t="n">
        <v>10896</v>
      </c>
      <c r="D71" s="25" t="n">
        <v>7784</v>
      </c>
      <c r="E71" s="25" t="n">
        <v>6389</v>
      </c>
      <c r="F71" s="25" t="n">
        <v>10534</v>
      </c>
    </row>
    <row r="72">
      <c r="A72" s="3" t="inlineStr">
        <is>
          <t>Other Properties</t>
        </is>
      </c>
      <c r="C72" s="25" t="n">
        <v>2976</v>
      </c>
      <c r="D72" s="25" t="n">
        <v>2955</v>
      </c>
      <c r="E72" s="25" t="n">
        <v>2927</v>
      </c>
      <c r="F72" s="25" t="n">
        <v>2969</v>
      </c>
    </row>
    <row r="73">
      <c r="A73" s="3" t="inlineStr">
        <is>
          <t>Current Assets</t>
        </is>
      </c>
      <c r="C73" s="25" t="n">
        <v>10416</v>
      </c>
      <c r="D73" s="25" t="n">
        <v>10432</v>
      </c>
      <c r="E73" s="25" t="n">
        <v>10694</v>
      </c>
      <c r="F73" s="25" t="n">
        <v>10917</v>
      </c>
    </row>
    <row r="74">
      <c r="A74" s="3" t="inlineStr">
        <is>
          <t>Other Current Assets</t>
        </is>
      </c>
      <c r="C74" s="25" t="n">
        <v>1644</v>
      </c>
      <c r="D74" s="25" t="n">
        <v>1927</v>
      </c>
      <c r="E74" s="25" t="n">
        <v>1633</v>
      </c>
      <c r="F74" s="25" t="n">
        <v>1486</v>
      </c>
    </row>
    <row r="75">
      <c r="A75" s="3" t="inlineStr">
        <is>
          <t>Hedging Assets Current</t>
        </is>
      </c>
      <c r="C75" s="25" t="n">
        <v>115</v>
      </c>
      <c r="D75" s="25" t="n">
        <v>36</v>
      </c>
      <c r="E75" s="25" t="n">
        <v>39</v>
      </c>
      <c r="F75" s="25" t="n">
        <v>63</v>
      </c>
    </row>
    <row r="76">
      <c r="A76" s="3" t="inlineStr">
        <is>
          <t>Prepaid Assets</t>
        </is>
      </c>
      <c r="C76" s="25" t="n">
        <v>347</v>
      </c>
      <c r="D76" s="25" t="n">
        <v>406</v>
      </c>
      <c r="E76" s="25" t="n">
        <v>294</v>
      </c>
      <c r="F76" s="25" t="n">
        <v>327</v>
      </c>
    </row>
    <row r="77">
      <c r="A77" s="3" t="inlineStr">
        <is>
          <t>Inventory</t>
        </is>
      </c>
      <c r="C77" s="25" t="n">
        <v>2677</v>
      </c>
      <c r="D77" s="25" t="n">
        <v>3352</v>
      </c>
      <c r="E77" s="25" t="n">
        <v>3369</v>
      </c>
      <c r="F77" s="25" t="n">
        <v>3333</v>
      </c>
    </row>
    <row r="78">
      <c r="A78" s="3" t="inlineStr">
        <is>
          <t>Other Inventories</t>
        </is>
      </c>
      <c r="C78" s="25" t="n">
        <v>438</v>
      </c>
      <c r="D78" s="25" t="n">
        <v>420</v>
      </c>
      <c r="E78" s="25" t="n">
        <v>388</v>
      </c>
      <c r="F78" s="25" t="n">
        <v>396</v>
      </c>
    </row>
    <row r="79">
      <c r="A79" s="3" t="inlineStr">
        <is>
          <t>Receivables</t>
        </is>
      </c>
      <c r="C79" s="25" t="n">
        <v>3716</v>
      </c>
      <c r="D79" s="25" t="n">
        <v>3963</v>
      </c>
      <c r="E79" s="25" t="n">
        <v>4289</v>
      </c>
      <c r="F79" s="25" t="n">
        <v>4069</v>
      </c>
    </row>
    <row r="80">
      <c r="A80" s="3" t="inlineStr">
        <is>
          <t>Receivables Adjustments Allowances</t>
        </is>
      </c>
      <c r="C80" s="25" t="n">
        <v>-71</v>
      </c>
      <c r="D80" s="25" t="n">
        <v>-68</v>
      </c>
      <c r="E80" s="25" t="n">
        <v>-74</v>
      </c>
      <c r="F80" s="25" t="n">
        <v>-84</v>
      </c>
    </row>
    <row r="81">
      <c r="A81" s="3" t="inlineStr">
        <is>
          <t>Other Receivables</t>
        </is>
      </c>
      <c r="C81" s="25" t="n">
        <v>647</v>
      </c>
      <c r="D81" s="25" t="n">
        <v>1215</v>
      </c>
      <c r="E81" s="25" t="n">
        <v>1310</v>
      </c>
      <c r="F81" s="25" t="n">
        <v>971</v>
      </c>
    </row>
    <row r="82">
      <c r="A82" s="3" t="inlineStr">
        <is>
          <t>Accounts Receivable</t>
        </is>
      </c>
      <c r="C82" s="25" t="n">
        <v>2128</v>
      </c>
      <c r="D82" s="25" t="n">
        <v>2030</v>
      </c>
      <c r="E82" s="25" t="n">
        <v>2228</v>
      </c>
      <c r="F82" s="25" t="n">
        <v>2251</v>
      </c>
    </row>
    <row r="83">
      <c r="A83" s="3" t="inlineStr">
        <is>
          <t>Cash Cash Equivalents And Short Term Investments</t>
        </is>
      </c>
      <c r="C83" s="25" t="n">
        <v>1917</v>
      </c>
      <c r="D83" s="25" t="n">
        <v>748</v>
      </c>
      <c r="E83" s="25" t="n">
        <v>1070</v>
      </c>
      <c r="F83" s="25" t="n">
        <v>1639</v>
      </c>
    </row>
    <row r="84">
      <c r="A84" s="3" t="inlineStr">
        <is>
          <t>Cash And Cash Equivalents</t>
        </is>
      </c>
      <c r="C84" s="25" t="n">
        <v>1917</v>
      </c>
      <c r="D84" s="25" t="n">
        <v>748</v>
      </c>
      <c r="E84" s="25" t="n">
        <v>1070</v>
      </c>
      <c r="F84" s="25" t="n">
        <v>1639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-1621</v>
      </c>
      <c r="D5" s="25" t="n">
        <v>-1542</v>
      </c>
      <c r="E5" s="25" t="n">
        <v>833</v>
      </c>
      <c r="F5" s="25" t="n">
        <v>-2935</v>
      </c>
    </row>
    <row r="6">
      <c r="A6" s="3" t="inlineStr">
        <is>
          <t>Repurchase Of Capital Stock</t>
        </is>
      </c>
      <c r="B6" s="25" t="n">
        <v>0</v>
      </c>
      <c r="C6" s="25" t="n">
        <v>-298</v>
      </c>
      <c r="D6" s="25" t="n">
        <v>0</v>
      </c>
      <c r="E6" s="25" t="n">
        <v>0</v>
      </c>
    </row>
    <row r="7">
      <c r="A7" s="3" t="inlineStr">
        <is>
          <t>Repayment Of Debt</t>
        </is>
      </c>
      <c r="C7" s="25" t="n">
        <v>-3645</v>
      </c>
      <c r="D7" s="25" t="n">
        <v>-5924</v>
      </c>
      <c r="E7" s="25" t="n">
        <v>-3890</v>
      </c>
      <c r="F7" s="25" t="n">
        <v>-5878</v>
      </c>
    </row>
    <row r="8">
      <c r="A8" s="3" t="inlineStr">
        <is>
          <t>Issuance Of Debt</t>
        </is>
      </c>
      <c r="C8" s="25" t="n">
        <v>7782</v>
      </c>
      <c r="D8" s="25" t="n">
        <v>10295</v>
      </c>
      <c r="E8" s="25" t="n">
        <v>6859</v>
      </c>
      <c r="F8" s="25" t="n">
        <v>12670</v>
      </c>
    </row>
    <row r="9">
      <c r="A9" s="3" t="inlineStr">
        <is>
          <t>Issuance Of Capital Stock</t>
        </is>
      </c>
      <c r="C9" s="25" t="n">
        <v>1808</v>
      </c>
      <c r="D9" s="25" t="n">
        <v>36</v>
      </c>
      <c r="E9" s="25" t="n">
        <v>143</v>
      </c>
      <c r="F9" s="25" t="n">
        <v>1623</v>
      </c>
    </row>
    <row r="10">
      <c r="A10" s="3" t="inlineStr">
        <is>
          <t>Capital Expenditure</t>
        </is>
      </c>
      <c r="C10" s="25" t="n">
        <v>-7923</v>
      </c>
      <c r="D10" s="25" t="n">
        <v>-9095</v>
      </c>
      <c r="E10" s="25" t="n">
        <v>-8955</v>
      </c>
      <c r="F10" s="25" t="n">
        <v>-12737</v>
      </c>
    </row>
    <row r="11">
      <c r="A11" s="3" t="inlineStr">
        <is>
          <t>Interest Paid Supplemental Data</t>
        </is>
      </c>
      <c r="C11" s="25" t="n">
        <v>1758</v>
      </c>
      <c r="D11" s="25" t="n">
        <v>2184</v>
      </c>
      <c r="E11" s="25" t="n">
        <v>2538</v>
      </c>
      <c r="F11" s="25" t="n">
        <v>2692</v>
      </c>
    </row>
    <row r="12">
      <c r="A12" s="3" t="inlineStr">
        <is>
          <t>Income Tax Paid Supplemental Data</t>
        </is>
      </c>
      <c r="C12" s="25" t="n">
        <v>146</v>
      </c>
      <c r="D12" s="25" t="n">
        <v>132</v>
      </c>
      <c r="E12" s="25" t="n">
        <v>176</v>
      </c>
      <c r="F12" s="25" t="n">
        <v>284</v>
      </c>
    </row>
    <row r="13">
      <c r="A13" s="3" t="inlineStr">
        <is>
          <t>End Cash Position</t>
        </is>
      </c>
      <c r="C13" s="25" t="n">
        <v>2037</v>
      </c>
      <c r="D13" s="25" t="n">
        <v>921</v>
      </c>
      <c r="E13" s="25" t="n">
        <v>1101</v>
      </c>
      <c r="F13" s="25" t="n">
        <v>1640</v>
      </c>
    </row>
    <row r="14">
      <c r="A14" s="3" t="inlineStr">
        <is>
          <t>Beginning Cash Position</t>
        </is>
      </c>
      <c r="C14" s="25" t="n">
        <v>1829</v>
      </c>
      <c r="D14" s="25" t="n">
        <v>2037</v>
      </c>
      <c r="E14" s="25" t="n">
        <v>921</v>
      </c>
      <c r="F14" s="25" t="n">
        <v>1101</v>
      </c>
    </row>
    <row r="15">
      <c r="A15" s="3" t="inlineStr">
        <is>
          <t>Changes In Cash</t>
        </is>
      </c>
      <c r="C15" s="25" t="n">
        <v>208</v>
      </c>
      <c r="D15" s="25" t="n">
        <v>-1116</v>
      </c>
      <c r="E15" s="25" t="n">
        <v>180</v>
      </c>
      <c r="F15" s="25" t="n">
        <v>539</v>
      </c>
    </row>
    <row r="16">
      <c r="A16" s="3" t="inlineStr">
        <is>
          <t>Financing Cash Flow</t>
        </is>
      </c>
      <c r="C16" s="25" t="n">
        <v>2336</v>
      </c>
      <c r="D16" s="25" t="n">
        <v>999</v>
      </c>
      <c r="E16" s="25" t="n">
        <v>-208</v>
      </c>
      <c r="F16" s="25" t="n">
        <v>4696</v>
      </c>
    </row>
    <row r="17">
      <c r="A17" s="3" t="inlineStr">
        <is>
          <t>Cash Flow From Continuing Financing Activities</t>
        </is>
      </c>
      <c r="C17" s="25" t="n">
        <v>2336</v>
      </c>
      <c r="D17" s="25" t="n">
        <v>999</v>
      </c>
      <c r="E17" s="25" t="n">
        <v>-208</v>
      </c>
      <c r="F17" s="25" t="n">
        <v>4696</v>
      </c>
    </row>
    <row r="18">
      <c r="A18" s="3" t="inlineStr">
        <is>
          <t>Net Other Financing Charges</t>
        </is>
      </c>
      <c r="C18" s="25" t="n">
        <v>-404</v>
      </c>
      <c r="D18" s="25" t="n">
        <v>-373</v>
      </c>
      <c r="E18" s="25" t="n">
        <v>-366</v>
      </c>
      <c r="F18" s="25" t="n">
        <v>-704</v>
      </c>
    </row>
    <row r="19">
      <c r="A19" s="3" t="inlineStr">
        <is>
          <t>Cash Dividends Paid</t>
        </is>
      </c>
      <c r="C19" s="25" t="n">
        <v>-2907</v>
      </c>
      <c r="D19" s="25" t="n">
        <v>-3035</v>
      </c>
      <c r="E19" s="25" t="n">
        <v>-2954</v>
      </c>
      <c r="F19" s="25" t="n">
        <v>-3015</v>
      </c>
    </row>
    <row r="20">
      <c r="A20" s="3" t="inlineStr">
        <is>
          <t>Common Stock Dividend Paid</t>
        </is>
      </c>
      <c r="C20" s="25" t="n">
        <v>-2907</v>
      </c>
      <c r="D20" s="25" t="n">
        <v>-3035</v>
      </c>
      <c r="E20" s="25" t="n">
        <v>-2954</v>
      </c>
      <c r="F20" s="25" t="n">
        <v>-3015</v>
      </c>
    </row>
    <row r="21">
      <c r="A21" s="3" t="inlineStr">
        <is>
          <t>Net Preferred Stock Issuance</t>
        </is>
      </c>
      <c r="B21" s="25" t="n">
        <v>0</v>
      </c>
      <c r="C21" s="25" t="n">
        <v>-298</v>
      </c>
      <c r="D21" s="25" t="n">
        <v>0</v>
      </c>
      <c r="E21" s="25" t="n">
        <v>0</v>
      </c>
    </row>
    <row r="22">
      <c r="A22" s="3" t="inlineStr">
        <is>
          <t>Preferred Stock Payments</t>
        </is>
      </c>
      <c r="B22" s="25" t="n">
        <v>0</v>
      </c>
      <c r="C22" s="25" t="n">
        <v>-298</v>
      </c>
      <c r="D22" s="25" t="n">
        <v>0</v>
      </c>
      <c r="E22" s="25" t="n">
        <v>0</v>
      </c>
    </row>
    <row r="23">
      <c r="A23" s="3" t="inlineStr">
        <is>
          <t>Net Common Stock Issuance</t>
        </is>
      </c>
      <c r="C23" s="25" t="n">
        <v>1808</v>
      </c>
      <c r="D23" s="25" t="n">
        <v>36</v>
      </c>
      <c r="E23" s="25" t="n">
        <v>143</v>
      </c>
      <c r="F23" s="25" t="n">
        <v>1623</v>
      </c>
    </row>
    <row r="24">
      <c r="A24" s="3" t="inlineStr">
        <is>
          <t>Common Stock Issuance</t>
        </is>
      </c>
      <c r="C24" s="25" t="n">
        <v>1808</v>
      </c>
      <c r="D24" s="25" t="n">
        <v>36</v>
      </c>
      <c r="E24" s="25" t="n">
        <v>143</v>
      </c>
      <c r="F24" s="25" t="n">
        <v>1623</v>
      </c>
    </row>
    <row r="25">
      <c r="A25" s="3" t="inlineStr">
        <is>
          <t>Net Issuance Payments Of Debt</t>
        </is>
      </c>
      <c r="C25" s="25" t="n">
        <v>4137</v>
      </c>
      <c r="D25" s="25" t="n">
        <v>4371</v>
      </c>
      <c r="E25" s="25" t="n">
        <v>2969</v>
      </c>
      <c r="F25" s="25" t="n">
        <v>6792</v>
      </c>
    </row>
    <row r="26">
      <c r="A26" s="3" t="inlineStr">
        <is>
          <t>Net Short Term Debt Issuance</t>
        </is>
      </c>
      <c r="C26" s="25" t="n">
        <v>1163</v>
      </c>
      <c r="D26" s="25" t="n">
        <v>-307</v>
      </c>
      <c r="E26" s="25" t="n">
        <v>-968</v>
      </c>
      <c r="F26" s="25" t="n">
        <v>-214</v>
      </c>
    </row>
    <row r="27">
      <c r="A27" s="3" t="inlineStr">
        <is>
          <t>Short Term Debt Payments</t>
        </is>
      </c>
      <c r="C27" s="25" t="n">
        <v>-1487</v>
      </c>
      <c r="D27" s="25" t="n">
        <v>-1630</v>
      </c>
      <c r="E27" s="25" t="n">
        <v>-1668</v>
      </c>
      <c r="F27" s="25" t="n">
        <v>-414</v>
      </c>
    </row>
    <row r="28">
      <c r="A28" s="3" t="inlineStr">
        <is>
          <t>Short Term Debt Issuance</t>
        </is>
      </c>
      <c r="C28" s="25" t="n">
        <v>2650</v>
      </c>
      <c r="D28" s="25" t="n">
        <v>1323</v>
      </c>
      <c r="E28" s="25" t="n">
        <v>700</v>
      </c>
      <c r="F28" s="25" t="n">
        <v>200</v>
      </c>
    </row>
    <row r="29">
      <c r="A29" s="3" t="inlineStr">
        <is>
          <t>Net Long Term Debt Issuance</t>
        </is>
      </c>
      <c r="C29" s="25" t="n">
        <v>2974</v>
      </c>
      <c r="D29" s="25" t="n">
        <v>4678</v>
      </c>
      <c r="E29" s="25" t="n">
        <v>3937</v>
      </c>
      <c r="F29" s="25" t="n">
        <v>7006</v>
      </c>
    </row>
    <row r="30">
      <c r="A30" s="3" t="inlineStr">
        <is>
          <t>Long Term Debt Payments</t>
        </is>
      </c>
      <c r="C30" s="25" t="n">
        <v>-2158</v>
      </c>
      <c r="D30" s="25" t="n">
        <v>-4294</v>
      </c>
      <c r="E30" s="25" t="n">
        <v>-2222</v>
      </c>
      <c r="F30" s="25" t="n">
        <v>-5464</v>
      </c>
    </row>
    <row r="31">
      <c r="A31" s="3" t="inlineStr">
        <is>
          <t>Long Term Debt Issuance</t>
        </is>
      </c>
      <c r="C31" s="25" t="n">
        <v>5132</v>
      </c>
      <c r="D31" s="25" t="n">
        <v>8972</v>
      </c>
      <c r="E31" s="25" t="n">
        <v>6159</v>
      </c>
      <c r="F31" s="25" t="n">
        <v>12470</v>
      </c>
    </row>
    <row r="32">
      <c r="A32" s="3" t="inlineStr">
        <is>
          <t>Investing Cash Flow</t>
        </is>
      </c>
      <c r="C32" s="25" t="n">
        <v>-8430</v>
      </c>
      <c r="D32" s="25" t="n">
        <v>-9668</v>
      </c>
      <c r="E32" s="25" t="n">
        <v>-9400</v>
      </c>
      <c r="F32" s="25" t="n">
        <v>-13959</v>
      </c>
    </row>
    <row r="33">
      <c r="A33" s="3" t="inlineStr">
        <is>
          <t>Cash Flow From Continuing Investing Activities</t>
        </is>
      </c>
      <c r="C33" s="25" t="n">
        <v>-8430</v>
      </c>
      <c r="D33" s="25" t="n">
        <v>-9668</v>
      </c>
      <c r="E33" s="25" t="n">
        <v>-9400</v>
      </c>
      <c r="F33" s="25" t="n">
        <v>-13959</v>
      </c>
    </row>
    <row r="34">
      <c r="A34" s="3" t="inlineStr">
        <is>
          <t>Net Other Investing Changes</t>
        </is>
      </c>
      <c r="C34" s="25" t="n">
        <v>-769</v>
      </c>
      <c r="D34" s="25" t="n">
        <v>-716</v>
      </c>
      <c r="E34" s="25" t="n">
        <v>-798</v>
      </c>
      <c r="F34" s="25" t="n">
        <v>-571</v>
      </c>
    </row>
    <row r="35">
      <c r="A35" s="3" t="inlineStr">
        <is>
          <t>Net Investment Purchase And Sale</t>
        </is>
      </c>
      <c r="C35" s="25" t="n">
        <v>-13</v>
      </c>
      <c r="D35" s="25" t="n">
        <v>-21</v>
      </c>
      <c r="E35" s="25" t="n">
        <v>-16</v>
      </c>
      <c r="F35" s="25" t="n">
        <v>-17</v>
      </c>
    </row>
    <row r="36">
      <c r="A36" s="3" t="inlineStr">
        <is>
          <t>Sale Of Investment</t>
        </is>
      </c>
      <c r="C36" s="25" t="n">
        <v>1112</v>
      </c>
      <c r="D36" s="25" t="n">
        <v>1121</v>
      </c>
      <c r="E36" s="25" t="n">
        <v>1535</v>
      </c>
      <c r="F36" s="25" t="n">
        <v>1685</v>
      </c>
    </row>
    <row r="37">
      <c r="A37" s="3" t="inlineStr">
        <is>
          <t>Purchase Of Investment</t>
        </is>
      </c>
      <c r="C37" s="25" t="n">
        <v>-1125</v>
      </c>
      <c r="D37" s="25" t="n">
        <v>-1142</v>
      </c>
      <c r="E37" s="25" t="n">
        <v>-1551</v>
      </c>
      <c r="F37" s="25" t="n">
        <v>-1702</v>
      </c>
    </row>
    <row r="38">
      <c r="A38" s="3" t="inlineStr">
        <is>
          <t>Net Business Purchase And Sale</t>
        </is>
      </c>
      <c r="C38" s="25" t="n">
        <v>275</v>
      </c>
      <c r="D38" s="25" t="n">
        <v>164</v>
      </c>
      <c r="E38" s="25" t="n">
        <v>369</v>
      </c>
      <c r="F38" s="25" t="n">
        <v>-634</v>
      </c>
    </row>
    <row r="39">
      <c r="A39" s="3" t="inlineStr">
        <is>
          <t>Sale Of Business</t>
        </is>
      </c>
      <c r="C39" s="25" t="n">
        <v>275</v>
      </c>
      <c r="D39" s="25" t="n">
        <v>164</v>
      </c>
      <c r="E39" s="25" t="n">
        <v>369</v>
      </c>
      <c r="F39" s="25" t="n">
        <v>1</v>
      </c>
    </row>
    <row r="40">
      <c r="A40" s="3" t="inlineStr">
        <is>
          <t>Purchase Of Business</t>
        </is>
      </c>
      <c r="B40" s="25" t="n">
        <v>-345</v>
      </c>
      <c r="D40" s="25" t="n">
        <v>0</v>
      </c>
      <c r="E40" s="25" t="n">
        <v>0</v>
      </c>
      <c r="F40" s="25" t="n">
        <v>-635</v>
      </c>
    </row>
    <row r="41">
      <c r="A41" s="3" t="inlineStr">
        <is>
          <t>Net PPE Purchase And Sale</t>
        </is>
      </c>
      <c r="C41" s="25" t="n">
        <v>-7923</v>
      </c>
      <c r="D41" s="25" t="n">
        <v>-9095</v>
      </c>
      <c r="E41" s="25" t="n">
        <v>-8955</v>
      </c>
      <c r="F41" s="25" t="n">
        <v>-12737</v>
      </c>
    </row>
    <row r="42">
      <c r="A42" s="3" t="inlineStr">
        <is>
          <t>Purchase Of PPE</t>
        </is>
      </c>
      <c r="C42" s="25" t="n">
        <v>-7923</v>
      </c>
      <c r="D42" s="25" t="n">
        <v>-9095</v>
      </c>
      <c r="E42" s="25" t="n">
        <v>-8955</v>
      </c>
      <c r="F42" s="25" t="n">
        <v>-12737</v>
      </c>
    </row>
    <row r="43">
      <c r="A43" s="3" t="inlineStr">
        <is>
          <t>Operating Cash Flow</t>
        </is>
      </c>
      <c r="C43" s="25" t="n">
        <v>6302</v>
      </c>
      <c r="D43" s="25" t="n">
        <v>7553</v>
      </c>
      <c r="E43" s="25" t="n">
        <v>9788</v>
      </c>
      <c r="F43" s="25" t="n">
        <v>9802</v>
      </c>
    </row>
    <row r="44">
      <c r="A44" s="3" t="inlineStr">
        <is>
          <t>Cash Flow From Continuing Operating Activities</t>
        </is>
      </c>
      <c r="C44" s="25" t="n">
        <v>6302</v>
      </c>
      <c r="D44" s="25" t="n">
        <v>7553</v>
      </c>
      <c r="E44" s="25" t="n">
        <v>9788</v>
      </c>
      <c r="F44" s="25" t="n">
        <v>9802</v>
      </c>
    </row>
    <row r="45">
      <c r="A45" s="3" t="inlineStr">
        <is>
          <t>Change In Working Capital</t>
        </is>
      </c>
      <c r="C45" s="25" t="n">
        <v>160</v>
      </c>
      <c r="D45" s="25" t="n">
        <v>-135</v>
      </c>
      <c r="E45" s="25" t="n">
        <v>1421</v>
      </c>
      <c r="F45" s="25" t="n">
        <v>399</v>
      </c>
    </row>
    <row r="46">
      <c r="A46" s="3" t="inlineStr">
        <is>
          <t>Change In Other Working Capital</t>
        </is>
      </c>
      <c r="C46" s="25" t="n">
        <v>19</v>
      </c>
      <c r="D46" s="25" t="n">
        <v>851</v>
      </c>
      <c r="E46" s="25" t="n">
        <v>1046</v>
      </c>
      <c r="F46" s="25" t="n">
        <v>534</v>
      </c>
    </row>
    <row r="47">
      <c r="A47" s="3" t="inlineStr">
        <is>
          <t>Change In Other Current Liabilities</t>
        </is>
      </c>
      <c r="C47" s="25" t="n">
        <v>153</v>
      </c>
      <c r="D47" s="25" t="n">
        <v>149</v>
      </c>
      <c r="E47" s="25" t="n">
        <v>115</v>
      </c>
      <c r="F47" s="25" t="n">
        <v>99</v>
      </c>
    </row>
    <row r="48">
      <c r="A48" s="3" t="inlineStr">
        <is>
          <t>Change In Other Current Assets</t>
        </is>
      </c>
      <c r="C48" s="25" t="n">
        <v>-186</v>
      </c>
      <c r="D48" s="25" t="n">
        <v>-106</v>
      </c>
      <c r="E48" s="25" t="n">
        <v>-47</v>
      </c>
      <c r="F48" s="25" t="n">
        <v>47</v>
      </c>
    </row>
    <row r="49">
      <c r="A49" s="3" t="inlineStr">
        <is>
          <t>Change In Payables And Accrued Expense</t>
        </is>
      </c>
      <c r="C49" s="25" t="n">
        <v>1072</v>
      </c>
      <c r="D49" s="25" t="n">
        <v>-798</v>
      </c>
      <c r="E49" s="25" t="n">
        <v>728</v>
      </c>
      <c r="F49" s="25" t="n">
        <v>-201</v>
      </c>
    </row>
    <row r="50">
      <c r="A50" s="3" t="inlineStr">
        <is>
          <t>Change In Accrued Expense</t>
        </is>
      </c>
      <c r="D50" s="25" t="n">
        <v>42</v>
      </c>
      <c r="E50" s="25" t="n">
        <v>30</v>
      </c>
      <c r="F50" s="25" t="n">
        <v>125</v>
      </c>
    </row>
    <row r="51">
      <c r="A51" s="3" t="inlineStr">
        <is>
          <t>Change In Interest Payable</t>
        </is>
      </c>
      <c r="D51" s="25" t="n">
        <v>42</v>
      </c>
      <c r="E51" s="25" t="n">
        <v>30</v>
      </c>
      <c r="F51" s="25" t="n">
        <v>125</v>
      </c>
    </row>
    <row r="52">
      <c r="A52" s="3" t="inlineStr">
        <is>
          <t>Change In Payable</t>
        </is>
      </c>
      <c r="C52" s="25" t="n">
        <v>1072</v>
      </c>
      <c r="D52" s="25" t="n">
        <v>-840</v>
      </c>
      <c r="E52" s="25" t="n">
        <v>698</v>
      </c>
      <c r="F52" s="25" t="n">
        <v>-326</v>
      </c>
    </row>
    <row r="53">
      <c r="A53" s="3" t="inlineStr">
        <is>
          <t>Change In Account Payable</t>
        </is>
      </c>
      <c r="C53" s="25" t="n">
        <v>1021</v>
      </c>
      <c r="D53" s="25" t="n">
        <v>-863</v>
      </c>
      <c r="E53" s="25" t="n">
        <v>492</v>
      </c>
      <c r="F53" s="25" t="n">
        <v>-290</v>
      </c>
    </row>
    <row r="54">
      <c r="A54" s="3" t="inlineStr">
        <is>
          <t>Change In Tax Payable</t>
        </is>
      </c>
      <c r="C54" s="25" t="n">
        <v>51</v>
      </c>
      <c r="D54" s="25" t="n">
        <v>23</v>
      </c>
      <c r="E54" s="25" t="n">
        <v>206</v>
      </c>
      <c r="F54" s="25" t="n">
        <v>-36</v>
      </c>
    </row>
    <row r="55">
      <c r="A55" s="3" t="inlineStr">
        <is>
          <t>Change In Income Tax Payable</t>
        </is>
      </c>
      <c r="C55" s="25" t="n">
        <v>51</v>
      </c>
      <c r="D55" s="25" t="n">
        <v>23</v>
      </c>
      <c r="E55" s="25" t="n">
        <v>206</v>
      </c>
      <c r="F55" s="25" t="n">
        <v>-36</v>
      </c>
    </row>
    <row r="56">
      <c r="A56" s="3" t="inlineStr">
        <is>
          <t>Change In Inventory</t>
        </is>
      </c>
      <c r="C56" s="25" t="n">
        <v>-127</v>
      </c>
      <c r="D56" s="25" t="n">
        <v>-713</v>
      </c>
      <c r="E56" s="25" t="n">
        <v>-49</v>
      </c>
      <c r="F56" s="25" t="n">
        <v>44</v>
      </c>
    </row>
    <row r="57">
      <c r="A57" s="3" t="inlineStr">
        <is>
          <t>Change In Receivables</t>
        </is>
      </c>
      <c r="C57" s="25" t="n">
        <v>-771</v>
      </c>
      <c r="D57" s="25" t="n">
        <v>482</v>
      </c>
      <c r="E57" s="25" t="n">
        <v>-372</v>
      </c>
      <c r="F57" s="25" t="n">
        <v>-124</v>
      </c>
    </row>
    <row r="58">
      <c r="A58" s="3" t="inlineStr">
        <is>
          <t>Other Non Cash Items</t>
        </is>
      </c>
      <c r="C58" s="25" t="n">
        <v>-1799</v>
      </c>
      <c r="D58" s="25" t="n">
        <v>-1173</v>
      </c>
      <c r="E58" s="25" t="n">
        <v>-1361</v>
      </c>
      <c r="F58" s="25" t="n">
        <v>-1225</v>
      </c>
    </row>
    <row r="59">
      <c r="A59" s="3" t="inlineStr">
        <is>
          <t>Stock Based Compensation</t>
        </is>
      </c>
      <c r="C59" s="25" t="n">
        <v>127</v>
      </c>
      <c r="D59" s="25" t="n">
        <v>137</v>
      </c>
      <c r="E59" s="25" t="n">
        <v>132</v>
      </c>
      <c r="F59" s="25" t="n">
        <v>136</v>
      </c>
    </row>
    <row r="60">
      <c r="A60" s="3" t="inlineStr">
        <is>
          <t>Asset Impairment Charge</t>
        </is>
      </c>
      <c r="B60" s="25" t="n">
        <v>91</v>
      </c>
      <c r="C60" s="25" t="n">
        <v>251</v>
      </c>
      <c r="D60" s="25" t="n">
        <v>0</v>
      </c>
    </row>
    <row r="61">
      <c r="A61" s="3" t="inlineStr">
        <is>
          <t>Deferred Tax</t>
        </is>
      </c>
      <c r="C61" s="25" t="n">
        <v>758</v>
      </c>
      <c r="D61" s="25" t="n">
        <v>416</v>
      </c>
      <c r="E61" s="25" t="n">
        <v>626</v>
      </c>
      <c r="F61" s="25" t="n">
        <v>618</v>
      </c>
    </row>
    <row r="62">
      <c r="A62" s="3" t="inlineStr">
        <is>
          <t>Deferred Income Tax</t>
        </is>
      </c>
      <c r="C62" s="25" t="n">
        <v>758</v>
      </c>
      <c r="D62" s="25" t="n">
        <v>416</v>
      </c>
      <c r="E62" s="25" t="n">
        <v>626</v>
      </c>
      <c r="F62" s="25" t="n">
        <v>618</v>
      </c>
    </row>
    <row r="63">
      <c r="A63" s="3" t="inlineStr">
        <is>
          <t>Depreciation Amortization Depletion</t>
        </is>
      </c>
      <c r="C63" s="25" t="n">
        <v>4064</v>
      </c>
      <c r="D63" s="25" t="n">
        <v>4986</v>
      </c>
      <c r="E63" s="25" t="n">
        <v>5266</v>
      </c>
      <c r="F63" s="25" t="n">
        <v>6030</v>
      </c>
    </row>
    <row r="64">
      <c r="A64" s="3" t="inlineStr">
        <is>
          <t>Depreciation And Amortization</t>
        </is>
      </c>
      <c r="C64" s="25" t="n">
        <v>4064</v>
      </c>
      <c r="D64" s="25" t="n">
        <v>4986</v>
      </c>
      <c r="E64" s="25" t="n">
        <v>5266</v>
      </c>
      <c r="F64" s="25" t="n">
        <v>6030</v>
      </c>
    </row>
    <row r="65">
      <c r="A65" s="3" t="inlineStr">
        <is>
          <t>Operating Gains Losses</t>
        </is>
      </c>
      <c r="C65" s="25" t="n">
        <v>-436</v>
      </c>
      <c r="D65" s="25" t="n">
        <v>-527</v>
      </c>
      <c r="E65" s="25" t="n">
        <v>-556</v>
      </c>
      <c r="F65" s="25" t="n">
        <v>-327</v>
      </c>
    </row>
    <row r="66">
      <c r="A66" s="3" t="inlineStr">
        <is>
          <t>Pension And Employee Benefit Expense</t>
        </is>
      </c>
      <c r="C66" s="25" t="n">
        <v>-436</v>
      </c>
      <c r="D66" s="25" t="n">
        <v>-527</v>
      </c>
      <c r="E66" s="25" t="n">
        <v>-556</v>
      </c>
      <c r="F66" s="25" t="n">
        <v>-579</v>
      </c>
    </row>
    <row r="67">
      <c r="A67" s="3" t="inlineStr">
        <is>
          <t>Gain Loss On Sale Of Business</t>
        </is>
      </c>
      <c r="B67" s="25" t="n">
        <v>-176</v>
      </c>
    </row>
    <row r="68">
      <c r="A68" s="3" t="inlineStr">
        <is>
          <t>Net Income From Continuing Operations</t>
        </is>
      </c>
      <c r="C68" s="25" t="n">
        <v>3428</v>
      </c>
      <c r="D68" s="25" t="n">
        <v>3849</v>
      </c>
      <c r="E68" s="25" t="n">
        <v>4260</v>
      </c>
      <c r="F68" s="25" t="n">
        <v>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2026-10-13T17:59:02Z</dcterms:created>
  <dcterms:modified xmlns:dcterms="http://purl.org/dc/terms/" xmlns:xsi="http://www.w3.org/2001/XMLSchema-instance" xsi:type="dcterms:W3CDTF">2026-10-13T17:59:02Z</dcterms:modified>
</cp:coreProperties>
</file>