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Uranium Energy Corp. (UEC)</t>
        </is>
      </c>
    </row>
    <row r="2">
      <c r="A2" s="2" t="inlineStr">
        <is>
          <t>Energy · Cyclical / Commodities (mid-cycle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3.972000122070312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UEC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Mid-cycle normalized EV/EBITDA</t>
        </is>
      </c>
      <c r="B5" s="2" t="inlineStr">
        <is>
          <t>sector</t>
        </is>
      </c>
      <c r="C5" s="6" t="n">
        <v>0.6193872776127251</v>
      </c>
      <c r="D5" s="6" t="n">
        <v>0.4831220765379255</v>
      </c>
      <c r="E5" s="6" t="n">
        <v>0.7556524786875245</v>
      </c>
      <c r="F5" s="11" t="n">
        <v>0</v>
      </c>
      <c r="G5" s="2" t="inlineStr">
        <is>
          <t>excluded — implausible: 0.1x the current price</t>
        </is>
      </c>
    </row>
    <row r="6">
      <c r="A6" s="3" t="inlineStr">
        <is>
          <t>Forward EV/Sales</t>
        </is>
      </c>
      <c r="B6" s="2" t="inlineStr">
        <is>
          <t>relative</t>
        </is>
      </c>
      <c r="C6" s="6" t="n">
        <v>2.182910991071005</v>
      </c>
      <c r="D6" s="6" t="n">
        <v>1.719190291272978</v>
      </c>
      <c r="E6" s="6" t="n">
        <v>2.739375830828639</v>
      </c>
      <c r="F6" s="11" t="n">
        <v>0.5</v>
      </c>
      <c r="G6" s="2" t="inlineStr">
        <is>
          <t>ok</t>
        </is>
      </c>
    </row>
    <row r="7">
      <c r="A7" s="3" t="inlineStr">
        <is>
          <t>Price / Book</t>
        </is>
      </c>
      <c r="B7" s="2" t="inlineStr">
        <is>
          <t>relative</t>
        </is>
      </c>
      <c r="C7" s="6" t="n">
        <v>4.550920363783331</v>
      </c>
      <c r="D7" s="6" t="n">
        <v>3.413190272837499</v>
      </c>
      <c r="E7" s="6" t="n">
        <v>5.916196472918331</v>
      </c>
      <c r="F7" s="11" t="n">
        <v>0.5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0.0936</v>
      </c>
    </row>
    <row r="12">
      <c r="A12" s="3" t="inlineStr">
        <is>
          <t>Dividends per share (12m)</t>
        </is>
      </c>
      <c r="B12" s="6" t="n">
        <v>0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13" t="inlineStr">
        <is>
          <t>Published 12-month target</t>
        </is>
      </c>
      <c r="B14" s="17">
        <f>$B$13</f>
        <v/>
      </c>
    </row>
    <row r="15">
      <c r="A15" s="3" t="inlineStr">
        <is>
          <t>Current price</t>
        </is>
      </c>
      <c r="B15" s="6" t="n">
        <v>9.930000305175781</v>
      </c>
    </row>
    <row r="16">
      <c r="A16" s="3" t="inlineStr">
        <is>
          <t>Engine target (incl. plausibility band)</t>
        </is>
      </c>
      <c r="B16" s="6" t="n">
        <v>3.972000122070312</v>
      </c>
    </row>
    <row r="18">
      <c r="A18" s="8" t="inlineStr">
        <is>
          <t>Guardrails</t>
        </is>
      </c>
    </row>
    <row r="19">
      <c r="A19" s="2" t="inlineStr">
        <is>
          <t>Mid-cycle normalized EV/EBITDA excluded (0.1x the current price is outside the 0.2x–5x plausibility band).</t>
        </is>
      </c>
    </row>
    <row r="20">
      <c r="A20" s="2" t="inlineStr">
        <is>
          <t>Target $3.68 fell outside 0.4x–2.5x the price and was limited to the band edge.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UEC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83.54625</v>
      </c>
      <c r="C5" s="19" t="n">
        <v>96.48740827932684</v>
      </c>
      <c r="D5" s="19" t="n">
        <v>109.1581353510335</v>
      </c>
      <c r="E5" s="19" t="n">
        <v>121.0969039785811</v>
      </c>
      <c r="F5" s="19" t="n">
        <v>131.8967415632188</v>
      </c>
      <c r="G5" s="19" t="n">
        <v>141.2516400852026</v>
      </c>
      <c r="H5" s="19" t="n">
        <v>148.9964341627106</v>
      </c>
      <c r="I5" s="19" t="n">
        <v>155.1406398745866</v>
      </c>
      <c r="J5" s="19" t="n">
        <v>159.9097780633238</v>
      </c>
      <c r="K5" s="19" t="n">
        <v>163.9075225149069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-0.5</v>
      </c>
      <c r="C7" s="11" t="n">
        <v>-0.4524240846841507</v>
      </c>
      <c r="D7" s="11" t="n">
        <v>-0.4048481693683015</v>
      </c>
      <c r="E7" s="11" t="n">
        <v>-0.3572722540524522</v>
      </c>
      <c r="F7" s="11" t="n">
        <v>-0.309696338736603</v>
      </c>
      <c r="G7" s="11" t="n">
        <v>-0.2621204234207537</v>
      </c>
      <c r="H7" s="11" t="n">
        <v>-0.2145445081049045</v>
      </c>
      <c r="I7" s="11" t="n">
        <v>-0.1669685927890552</v>
      </c>
      <c r="J7" s="11" t="n">
        <v>-0.1669685927890552</v>
      </c>
      <c r="K7" s="11" t="n">
        <v>-0.1669685927890552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-48.4434917285</v>
      </c>
      <c r="C9" s="19" t="n">
        <v>-45.09922737432039</v>
      </c>
      <c r="D9" s="19" t="n">
        <v>-45.6384712685232</v>
      </c>
      <c r="E9" s="19" t="n">
        <v>-44.71056384320104</v>
      </c>
      <c r="F9" s="19" t="n">
        <v>-42.29393795341679</v>
      </c>
      <c r="G9" s="19" t="n">
        <v>-38.47093970800922</v>
      </c>
      <c r="H9" s="19" t="n">
        <v>-33.41236667682352</v>
      </c>
      <c r="I9" s="19" t="n">
        <v>-27.34961432425331</v>
      </c>
      <c r="J9" s="19" t="n">
        <v>-28.14591061644332</v>
      </c>
      <c r="K9" s="19" t="n">
        <v>-28.8134083818544</v>
      </c>
    </row>
    <row r="10">
      <c r="A10" s="3" t="inlineStr">
        <is>
          <t>EPS</t>
        </is>
      </c>
      <c r="B10" s="16">
        <f>B9*1000000/454015855.0</f>
        <v/>
      </c>
      <c r="C10" s="16">
        <f>C9*1000000/454015855.0</f>
        <v/>
      </c>
      <c r="D10" s="16">
        <f>D9*1000000/454015855.0</f>
        <v/>
      </c>
      <c r="E10" s="16">
        <f>E9*1000000/454015855.0</f>
        <v/>
      </c>
      <c r="F10" s="16">
        <f>F9*1000000/454015855.0</f>
        <v/>
      </c>
      <c r="G10" s="16">
        <f>G9*1000000/454015855.0</f>
        <v/>
      </c>
      <c r="H10" s="16">
        <f>H9*1000000/454015855.0</f>
        <v/>
      </c>
      <c r="I10" s="16">
        <f>I9*1000000/454015855.0</f>
        <v/>
      </c>
      <c r="J10" s="16">
        <f>J9*1000000/454015855.0</f>
        <v/>
      </c>
      <c r="K10" s="16">
        <f>K9*1000000/454015855.0</f>
        <v/>
      </c>
    </row>
    <row r="12">
      <c r="A12" s="13" t="inlineStr">
        <is>
          <t>Levered FCF (mn)</t>
        </is>
      </c>
      <c r="B12" s="20" t="n">
        <v>-37.29796246477009</v>
      </c>
      <c r="C12" s="20" t="n">
        <v>-39.4183942707976</v>
      </c>
      <c r="D12" s="20" t="n">
        <v>-39.99267344579766</v>
      </c>
      <c r="E12" s="20" t="n">
        <v>-39.30173919079579</v>
      </c>
      <c r="F12" s="20" t="n">
        <v>-37.3187743106318</v>
      </c>
      <c r="G12" s="20" t="n">
        <v>-34.10545859794915</v>
      </c>
      <c r="H12" s="20" t="n">
        <v>-29.79905239350708</v>
      </c>
      <c r="I12" s="20" t="n">
        <v>-24.5883556447208</v>
      </c>
      <c r="J12" s="20" t="n">
        <v>-25.52761052850262</v>
      </c>
      <c r="K12" s="20" t="n">
        <v>-26.29100518581695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UEC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9.930000305175781</v>
      </c>
    </row>
    <row r="6">
      <c r="A6" s="3" t="inlineStr">
        <is>
          <t>Diluted shares (mn)</t>
        </is>
      </c>
      <c r="B6" s="18" t="n">
        <v>454.015855</v>
      </c>
    </row>
    <row r="7">
      <c r="A7" s="3" t="inlineStr">
        <is>
          <t>Total debt (USDmm)</t>
        </is>
      </c>
      <c r="B7" s="18" t="n">
        <v>0</v>
      </c>
    </row>
    <row r="8">
      <c r="A8" s="3" t="inlineStr">
        <is>
          <t>Cash &amp; ST investments (USDmm)</t>
        </is>
      </c>
      <c r="B8" s="18" t="n">
        <v>148.93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1.1</v>
      </c>
    </row>
    <row r="18">
      <c r="A18" s="3" t="inlineStr">
        <is>
          <t>Pre-tax cost of debt</t>
        </is>
      </c>
      <c r="B18" s="15" t="n">
        <v>0.183</v>
      </c>
    </row>
    <row r="19">
      <c r="A19" s="3" t="inlineStr">
        <is>
          <t>Tax rate</t>
        </is>
      </c>
      <c r="B19" s="11" t="n">
        <v>0.1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0.25</v>
      </c>
      <c r="C26" s="11" t="n">
        <v>0.1548981346179732</v>
      </c>
      <c r="D26" s="11" t="n">
        <v>0.1313200063890771</v>
      </c>
      <c r="E26" s="11" t="n">
        <v>0.1093713133625317</v>
      </c>
      <c r="F26" s="11" t="n">
        <v>0.08918343268749396</v>
      </c>
      <c r="G26" s="11" t="n">
        <v>0.07092592592592592</v>
      </c>
      <c r="H26" s="11" t="n">
        <v>0.05482976390813067</v>
      </c>
      <c r="I26" s="11" t="n">
        <v>0.04123726682724665</v>
      </c>
      <c r="J26" s="11" t="n">
        <v>0.03074074074074075</v>
      </c>
      <c r="K26" s="11" t="n">
        <v>0.025</v>
      </c>
    </row>
    <row r="27">
      <c r="A27" s="3" t="inlineStr">
        <is>
          <t>EBIT margin</t>
        </is>
      </c>
      <c r="B27" s="11" t="n">
        <v>-0.5</v>
      </c>
      <c r="C27" s="11" t="n">
        <v>-0.4524240846841507</v>
      </c>
      <c r="D27" s="11" t="n">
        <v>-0.4048481693683015</v>
      </c>
      <c r="E27" s="11" t="n">
        <v>-0.3572722540524522</v>
      </c>
      <c r="F27" s="11" t="n">
        <v>-0.309696338736603</v>
      </c>
      <c r="G27" s="11" t="n">
        <v>-0.2621204234207537</v>
      </c>
      <c r="H27" s="11" t="n">
        <v>-0.2145445081049045</v>
      </c>
      <c r="I27" s="11" t="n">
        <v>-0.1669685927890552</v>
      </c>
      <c r="J27" s="11" t="n">
        <v>-0.1669685927890552</v>
      </c>
      <c r="K27" s="11" t="n">
        <v>-0.1669685927890552</v>
      </c>
    </row>
    <row r="28">
      <c r="A28" s="3" t="inlineStr">
        <is>
          <t>D&amp;A % of revenue</t>
        </is>
      </c>
      <c r="B28" s="11" t="n">
        <v>0.04628903394213016</v>
      </c>
      <c r="C28" s="11" t="n">
        <v>0.04628903394213016</v>
      </c>
      <c r="D28" s="11" t="n">
        <v>0.04628903394213016</v>
      </c>
      <c r="E28" s="11" t="n">
        <v>0.04628903394213016</v>
      </c>
      <c r="F28" s="11" t="n">
        <v>0.04628903394213016</v>
      </c>
      <c r="G28" s="11" t="n">
        <v>0.04628903394213016</v>
      </c>
      <c r="H28" s="11" t="n">
        <v>0.04628903394213016</v>
      </c>
      <c r="I28" s="11" t="n">
        <v>0.04628903394213016</v>
      </c>
      <c r="J28" s="11" t="n">
        <v>0.04628903394213016</v>
      </c>
      <c r="K28" s="11" t="n">
        <v>0.04628903394213016</v>
      </c>
    </row>
    <row r="29">
      <c r="A29" s="3" t="inlineStr">
        <is>
          <t>Capex % of revenue</t>
        </is>
      </c>
      <c r="B29" s="11" t="n">
        <v>0.04714694156539385</v>
      </c>
      <c r="C29" s="11" t="n">
        <v>0.04756594109549933</v>
      </c>
      <c r="D29" s="11" t="n">
        <v>0.04798494062560481</v>
      </c>
      <c r="E29" s="11" t="n">
        <v>0.04840394015571029</v>
      </c>
      <c r="F29" s="11" t="n">
        <v>0.04882293968581577</v>
      </c>
      <c r="G29" s="11" t="n">
        <v>0.04924193921592125</v>
      </c>
      <c r="H29" s="11" t="n">
        <v>0.04966093874602674</v>
      </c>
      <c r="I29" s="11" t="n">
        <v>0.05007993827613222</v>
      </c>
      <c r="J29" s="11" t="n">
        <v>0.0504989378062377</v>
      </c>
      <c r="K29" s="11" t="n">
        <v>0.05091793733634318</v>
      </c>
    </row>
    <row r="30">
      <c r="A30" s="3" t="inlineStr">
        <is>
          <t>ΔNWC % of Δrevenue</t>
        </is>
      </c>
      <c r="B30" s="11" t="n">
        <v>-0.1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23.161</v>
      </c>
      <c r="C5" s="25" t="n">
        <v>164.389</v>
      </c>
      <c r="D5" s="25" t="n">
        <v>0.224</v>
      </c>
      <c r="E5" s="25" t="n">
        <v>66.837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-18.949</v>
      </c>
      <c r="C7" s="25" t="n">
        <v>9.050000000000001</v>
      </c>
      <c r="D7" s="25" t="n">
        <v>-56.553</v>
      </c>
      <c r="E7" s="25" t="n">
        <v>-73.42100000000001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1.379</v>
      </c>
      <c r="C9" s="25" t="n">
        <v>2.007</v>
      </c>
      <c r="D9" s="25" t="n">
        <v>2.183</v>
      </c>
      <c r="E9" s="25" t="n">
        <v>4.486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1.21</v>
      </c>
      <c r="C12" s="25" t="n">
        <v>0.656</v>
      </c>
      <c r="D12" s="25" t="n">
        <v>3.428</v>
      </c>
      <c r="E12" s="25" t="n">
        <v>5.695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35.495</v>
      </c>
      <c r="C13" s="25" t="n">
        <v>-57.032</v>
      </c>
      <c r="D13" s="25" t="n">
        <v>59.318</v>
      </c>
      <c r="E13" s="25" t="n">
        <v>4.319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834.97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0.0786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0.08610000000000001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0.0936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0.1011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0.1086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UEC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4.50177</v>
      </c>
      <c r="D5" s="25" t="n">
        <v>-2.00025</v>
      </c>
      <c r="E5" s="25" t="n">
        <v>2.851399854036</v>
      </c>
      <c r="F5" s="25" t="n">
        <v>-0.5022081826729999</v>
      </c>
    </row>
    <row r="6">
      <c r="A6" s="3" t="inlineStr">
        <is>
          <t>Tax Rate For Calcs</t>
        </is>
      </c>
      <c r="C6" s="25" t="n">
        <v>2.1e-13</v>
      </c>
      <c r="D6" s="25" t="n">
        <v>2.1e-13</v>
      </c>
      <c r="E6" s="25" t="n">
        <v>1.46957e-13</v>
      </c>
      <c r="F6" s="25" t="n">
        <v>3.0729e-14</v>
      </c>
    </row>
    <row r="7">
      <c r="A7" s="3" t="inlineStr">
        <is>
          <t>Normalized EBITDA</t>
        </is>
      </c>
      <c r="C7" s="25" t="n">
        <v>-13.292</v>
      </c>
      <c r="D7" s="25" t="n">
        <v>9.9</v>
      </c>
      <c r="E7" s="25" t="n">
        <v>-50.648</v>
      </c>
      <c r="F7" s="25" t="n">
        <v>-68.16</v>
      </c>
    </row>
    <row r="8">
      <c r="A8" s="3" t="inlineStr">
        <is>
          <t>Total Unusual Items</t>
        </is>
      </c>
      <c r="C8" s="25" t="n">
        <v>21.437</v>
      </c>
      <c r="D8" s="25" t="n">
        <v>-9.525</v>
      </c>
      <c r="E8" s="25" t="n">
        <v>19.403</v>
      </c>
      <c r="F8" s="25" t="n">
        <v>-16.343</v>
      </c>
    </row>
    <row r="9">
      <c r="A9" s="3" t="inlineStr">
        <is>
          <t>Total Unusual Items Excluding Goodwill</t>
        </is>
      </c>
      <c r="C9" s="25" t="n">
        <v>21.437</v>
      </c>
      <c r="D9" s="25" t="n">
        <v>-9.525</v>
      </c>
      <c r="E9" s="25" t="n">
        <v>19.403</v>
      </c>
      <c r="F9" s="25" t="n">
        <v>-16.343</v>
      </c>
    </row>
    <row r="10">
      <c r="A10" s="3" t="inlineStr">
        <is>
          <t>Net Income From Continuing Operation Net Minority Interest</t>
        </is>
      </c>
      <c r="C10" s="25" t="n">
        <v>5.252</v>
      </c>
      <c r="D10" s="25" t="n">
        <v>-3.307</v>
      </c>
      <c r="E10" s="25" t="n">
        <v>-29.221</v>
      </c>
      <c r="F10" s="25" t="n">
        <v>-87.65600000000001</v>
      </c>
    </row>
    <row r="11">
      <c r="A11" s="3" t="inlineStr">
        <is>
          <t>Reconciled Depreciation</t>
        </is>
      </c>
      <c r="C11" s="25" t="n">
        <v>1.379</v>
      </c>
      <c r="D11" s="25" t="n">
        <v>2.007</v>
      </c>
      <c r="E11" s="25" t="n">
        <v>2.183</v>
      </c>
      <c r="F11" s="25" t="n">
        <v>4.486</v>
      </c>
    </row>
    <row r="12">
      <c r="A12" s="3" t="inlineStr">
        <is>
          <t>Reconciled Cost Of Revenue</t>
        </is>
      </c>
      <c r="C12" s="25" t="n">
        <v>15.868</v>
      </c>
      <c r="D12" s="25" t="n">
        <v>114.719</v>
      </c>
      <c r="E12" s="25" t="n">
        <v>0.187</v>
      </c>
      <c r="F12" s="25" t="n">
        <v>42.348</v>
      </c>
    </row>
    <row r="13">
      <c r="A13" s="3" t="inlineStr">
        <is>
          <t>EBITDA</t>
        </is>
      </c>
      <c r="C13" s="25" t="n">
        <v>8.145</v>
      </c>
      <c r="D13" s="25" t="n">
        <v>0.375</v>
      </c>
      <c r="E13" s="25" t="n">
        <v>-31.245</v>
      </c>
      <c r="F13" s="25" t="n">
        <v>-84.503</v>
      </c>
    </row>
    <row r="14">
      <c r="A14" s="3" t="inlineStr">
        <is>
          <t>EBIT</t>
        </is>
      </c>
      <c r="C14" s="25" t="n">
        <v>6.766</v>
      </c>
      <c r="D14" s="25" t="n">
        <v>-1.632</v>
      </c>
      <c r="E14" s="25" t="n">
        <v>-33.428</v>
      </c>
      <c r="F14" s="25" t="n">
        <v>-88.989</v>
      </c>
    </row>
    <row r="15">
      <c r="A15" s="3" t="inlineStr">
        <is>
          <t>Net Interest Income</t>
        </is>
      </c>
      <c r="C15" s="25" t="n">
        <v>-1.421</v>
      </c>
      <c r="D15" s="25" t="n">
        <v>-0.455</v>
      </c>
      <c r="E15" s="25" t="n">
        <v>1.802</v>
      </c>
      <c r="F15" s="25" t="n">
        <v>2.576</v>
      </c>
    </row>
    <row r="16">
      <c r="A16" s="3" t="inlineStr">
        <is>
          <t>Interest Expense</t>
        </is>
      </c>
      <c r="C16" s="25" t="n">
        <v>1.519</v>
      </c>
      <c r="D16" s="25" t="n">
        <v>0.805</v>
      </c>
      <c r="E16" s="25" t="n">
        <v>0.827</v>
      </c>
      <c r="F16" s="25" t="n">
        <v>1.446</v>
      </c>
    </row>
    <row r="17">
      <c r="A17" s="3" t="inlineStr">
        <is>
          <t>Interest Income</t>
        </is>
      </c>
      <c r="C17" s="25" t="n">
        <v>0.098</v>
      </c>
      <c r="D17" s="25" t="n">
        <v>0.35</v>
      </c>
      <c r="E17" s="25" t="n">
        <v>2.629</v>
      </c>
      <c r="F17" s="25" t="n">
        <v>4.022</v>
      </c>
    </row>
    <row r="18">
      <c r="A18" s="3" t="inlineStr">
        <is>
          <t>Normalized Income</t>
        </is>
      </c>
      <c r="C18" s="25" t="n">
        <v>-11.68323</v>
      </c>
      <c r="D18" s="25" t="n">
        <v>4.21775</v>
      </c>
      <c r="E18" s="25" t="n">
        <v>-45.772600145964</v>
      </c>
      <c r="F18" s="25" t="n">
        <v>-71.815208182673</v>
      </c>
    </row>
    <row r="19">
      <c r="A19" s="3" t="inlineStr">
        <is>
          <t>Net Income From Continuing And Discontinued Operation</t>
        </is>
      </c>
      <c r="C19" s="25" t="n">
        <v>5.252</v>
      </c>
      <c r="D19" s="25" t="n">
        <v>-3.307</v>
      </c>
      <c r="E19" s="25" t="n">
        <v>-29.221</v>
      </c>
      <c r="F19" s="25" t="n">
        <v>-87.65600000000001</v>
      </c>
    </row>
    <row r="20">
      <c r="A20" s="3" t="inlineStr">
        <is>
          <t>Total Expenses</t>
        </is>
      </c>
      <c r="C20" s="25" t="n">
        <v>42.11</v>
      </c>
      <c r="D20" s="25" t="n">
        <v>155.339</v>
      </c>
      <c r="E20" s="25" t="n">
        <v>56.777</v>
      </c>
      <c r="F20" s="25" t="n">
        <v>140.258</v>
      </c>
    </row>
    <row r="21">
      <c r="A21" s="3" t="inlineStr">
        <is>
          <t>Total Operating Income As Reported</t>
        </is>
      </c>
      <c r="C21" s="25" t="n">
        <v>-22.71</v>
      </c>
      <c r="D21" s="25" t="n">
        <v>8.867000000000001</v>
      </c>
      <c r="E21" s="25" t="n">
        <v>-56.402</v>
      </c>
      <c r="F21" s="25" t="n">
        <v>-73.321</v>
      </c>
    </row>
    <row r="22">
      <c r="A22" s="3" t="inlineStr">
        <is>
          <t>Diluted Average Shares</t>
        </is>
      </c>
      <c r="C22" s="25" t="n">
        <v>280.102073</v>
      </c>
      <c r="D22" s="25" t="n">
        <v>364.789621</v>
      </c>
      <c r="E22" s="25" t="n">
        <v>397.30978</v>
      </c>
      <c r="F22" s="25" t="n">
        <v>427.680193</v>
      </c>
    </row>
    <row r="23">
      <c r="A23" s="3" t="inlineStr">
        <is>
          <t>Basic Average Shares</t>
        </is>
      </c>
      <c r="C23" s="25" t="n">
        <v>271.019472</v>
      </c>
      <c r="D23" s="25" t="n">
        <v>364.789621</v>
      </c>
      <c r="E23" s="25" t="n">
        <v>397.30978</v>
      </c>
      <c r="F23" s="25" t="n">
        <v>427.680193</v>
      </c>
    </row>
    <row r="24">
      <c r="A24" s="3" t="inlineStr">
        <is>
          <t>Diluted EPS</t>
        </is>
      </c>
      <c r="C24" s="25" t="n">
        <v>2e-14</v>
      </c>
      <c r="D24" s="25" t="n">
        <v>-1e-14</v>
      </c>
      <c r="E24" s="25" t="n">
        <v>-7e-14</v>
      </c>
      <c r="F24" s="25" t="n">
        <v>-2e-13</v>
      </c>
    </row>
    <row r="25">
      <c r="A25" s="3" t="inlineStr">
        <is>
          <t>Basic EPS</t>
        </is>
      </c>
      <c r="C25" s="25" t="n">
        <v>2e-14</v>
      </c>
      <c r="D25" s="25" t="n">
        <v>-1e-14</v>
      </c>
      <c r="E25" s="25" t="n">
        <v>-7e-14</v>
      </c>
      <c r="F25" s="25" t="n">
        <v>-2e-13</v>
      </c>
    </row>
    <row r="26">
      <c r="A26" s="3" t="inlineStr">
        <is>
          <t>Diluted NI Availto Com Stockholders</t>
        </is>
      </c>
      <c r="C26" s="25" t="n">
        <v>5.252</v>
      </c>
      <c r="D26" s="25" t="n">
        <v>-3.307</v>
      </c>
      <c r="E26" s="25" t="n">
        <v>-29.221</v>
      </c>
      <c r="F26" s="25" t="n">
        <v>-87.65600000000001</v>
      </c>
    </row>
    <row r="27">
      <c r="A27" s="3" t="inlineStr">
        <is>
          <t>Net Income Common Stockholders</t>
        </is>
      </c>
      <c r="C27" s="25" t="n">
        <v>5.252</v>
      </c>
      <c r="D27" s="25" t="n">
        <v>-3.307</v>
      </c>
      <c r="E27" s="25" t="n">
        <v>-29.221</v>
      </c>
      <c r="F27" s="25" t="n">
        <v>-87.65600000000001</v>
      </c>
    </row>
    <row r="28">
      <c r="A28" s="3" t="inlineStr">
        <is>
          <t>Net Income</t>
        </is>
      </c>
      <c r="C28" s="25" t="n">
        <v>5.252</v>
      </c>
      <c r="D28" s="25" t="n">
        <v>-3.307</v>
      </c>
      <c r="E28" s="25" t="n">
        <v>-29.221</v>
      </c>
      <c r="F28" s="25" t="n">
        <v>-87.65600000000001</v>
      </c>
    </row>
    <row r="29">
      <c r="A29" s="3" t="inlineStr">
        <is>
          <t>Net Income Including Noncontrolling Interests</t>
        </is>
      </c>
      <c r="C29" s="25" t="n">
        <v>5.252</v>
      </c>
      <c r="D29" s="25" t="n">
        <v>-3.307</v>
      </c>
      <c r="E29" s="25" t="n">
        <v>-29.221</v>
      </c>
      <c r="F29" s="25" t="n">
        <v>-87.65600000000001</v>
      </c>
    </row>
    <row r="30">
      <c r="A30" s="3" t="inlineStr">
        <is>
          <t>Net Income Continuous Operations</t>
        </is>
      </c>
      <c r="C30" s="25" t="n">
        <v>5.252</v>
      </c>
      <c r="D30" s="25" t="n">
        <v>-3.307</v>
      </c>
      <c r="E30" s="25" t="n">
        <v>-29.221</v>
      </c>
      <c r="F30" s="25" t="n">
        <v>-87.65600000000001</v>
      </c>
    </row>
    <row r="31">
      <c r="A31" s="3" t="inlineStr">
        <is>
          <t>Tax Provision</t>
        </is>
      </c>
      <c r="C31" s="25" t="n">
        <v>-0.005</v>
      </c>
      <c r="D31" s="25" t="n">
        <v>0.87</v>
      </c>
      <c r="E31" s="25" t="n">
        <v>-5.034</v>
      </c>
      <c r="F31" s="25" t="n">
        <v>-2.779</v>
      </c>
    </row>
    <row r="32">
      <c r="A32" s="3" t="inlineStr">
        <is>
          <t>Pretax Income</t>
        </is>
      </c>
      <c r="C32" s="25" t="n">
        <v>5.247</v>
      </c>
      <c r="D32" s="25" t="n">
        <v>-2.437</v>
      </c>
      <c r="E32" s="25" t="n">
        <v>-34.255</v>
      </c>
      <c r="F32" s="25" t="n">
        <v>-90.435</v>
      </c>
    </row>
    <row r="33">
      <c r="A33" s="3" t="inlineStr">
        <is>
          <t>Other Income Expense</t>
        </is>
      </c>
      <c r="C33" s="25" t="n">
        <v>25.617</v>
      </c>
      <c r="D33" s="25" t="n">
        <v>-11.032</v>
      </c>
      <c r="E33" s="25" t="n">
        <v>20.496</v>
      </c>
      <c r="F33" s="25" t="n">
        <v>-19.59</v>
      </c>
    </row>
    <row r="34">
      <c r="A34" s="3" t="inlineStr">
        <is>
          <t>Other Non Operating Income Expenses</t>
        </is>
      </c>
      <c r="C34" s="25" t="n">
        <v>0.054</v>
      </c>
      <c r="D34" s="25" t="n">
        <v>-0.513</v>
      </c>
      <c r="E34" s="25" t="n">
        <v>0.076</v>
      </c>
      <c r="F34" s="25" t="n">
        <v>0.105</v>
      </c>
    </row>
    <row r="35">
      <c r="A35" s="3" t="inlineStr">
        <is>
          <t>Special Income Charges</t>
        </is>
      </c>
      <c r="C35" s="25" t="n">
        <v>23.105</v>
      </c>
      <c r="D35" s="25" t="n">
        <v>-0.748</v>
      </c>
      <c r="E35" s="25" t="n">
        <v>-0.027</v>
      </c>
      <c r="F35" s="25" t="n">
        <v>-0.098</v>
      </c>
    </row>
    <row r="36">
      <c r="A36" s="3" t="inlineStr">
        <is>
          <t>Gain On Sale Of Ppe</t>
        </is>
      </c>
      <c r="C36" s="25" t="n">
        <v>6.427</v>
      </c>
      <c r="D36" s="25" t="n">
        <v>0.02</v>
      </c>
      <c r="E36" s="25" t="n">
        <v>-0.027</v>
      </c>
      <c r="F36" s="25" t="n">
        <v>-0.098</v>
      </c>
    </row>
    <row r="37">
      <c r="A37" s="3" t="inlineStr">
        <is>
          <t>Other Special Charges</t>
        </is>
      </c>
      <c r="B37" s="25" t="n">
        <v>-0.286</v>
      </c>
      <c r="C37" s="25" t="n">
        <v>-1.78</v>
      </c>
      <c r="D37" s="25" t="n">
        <v>-0.428</v>
      </c>
    </row>
    <row r="38">
      <c r="A38" s="3" t="inlineStr">
        <is>
          <t>Write Off</t>
        </is>
      </c>
      <c r="B38" s="25" t="n">
        <v>0</v>
      </c>
      <c r="C38" s="25" t="n">
        <v>-18.342</v>
      </c>
      <c r="D38" s="25" t="n">
        <v>0</v>
      </c>
      <c r="E38" s="25" t="n">
        <v>0</v>
      </c>
    </row>
    <row r="39">
      <c r="A39" s="3" t="inlineStr">
        <is>
          <t>Impairment Of Capital Assets</t>
        </is>
      </c>
      <c r="C39" s="25" t="n">
        <v>0</v>
      </c>
      <c r="D39" s="25" t="n">
        <v>0.112</v>
      </c>
      <c r="E39" s="25" t="n">
        <v>0</v>
      </c>
      <c r="F39" s="25" t="n">
        <v>0</v>
      </c>
    </row>
    <row r="40">
      <c r="A40" s="3" t="inlineStr">
        <is>
          <t>Restructuring And Mergern Acquisition</t>
        </is>
      </c>
      <c r="C40" s="25" t="n">
        <v>3.444</v>
      </c>
      <c r="D40" s="25" t="n">
        <v>1.084</v>
      </c>
      <c r="E40" s="25" t="n">
        <v>0</v>
      </c>
      <c r="F40" s="25" t="n">
        <v>0</v>
      </c>
    </row>
    <row r="41">
      <c r="A41" s="3" t="inlineStr">
        <is>
          <t>Earnings From Equity Interest</t>
        </is>
      </c>
      <c r="C41" s="25" t="n">
        <v>4.126</v>
      </c>
      <c r="D41" s="25" t="n">
        <v>-0.994</v>
      </c>
      <c r="E41" s="25" t="n">
        <v>1.017</v>
      </c>
      <c r="F41" s="25" t="n">
        <v>-3.352</v>
      </c>
    </row>
    <row r="42">
      <c r="A42" s="3" t="inlineStr">
        <is>
          <t>Gain On Sale Of Security</t>
        </is>
      </c>
      <c r="C42" s="25" t="n">
        <v>-1.668</v>
      </c>
      <c r="D42" s="25" t="n">
        <v>-8.776999999999999</v>
      </c>
      <c r="E42" s="25" t="n">
        <v>19.43</v>
      </c>
      <c r="F42" s="25" t="n">
        <v>-16.245</v>
      </c>
    </row>
    <row r="43">
      <c r="A43" s="3" t="inlineStr">
        <is>
          <t>Net Non Operating Interest Income Expense</t>
        </is>
      </c>
      <c r="C43" s="25" t="n">
        <v>-1.421</v>
      </c>
      <c r="D43" s="25" t="n">
        <v>-0.455</v>
      </c>
      <c r="E43" s="25" t="n">
        <v>1.802</v>
      </c>
      <c r="F43" s="25" t="n">
        <v>2.576</v>
      </c>
    </row>
    <row r="44">
      <c r="A44" s="3" t="inlineStr">
        <is>
          <t>Interest Expense Non Operating</t>
        </is>
      </c>
      <c r="C44" s="25" t="n">
        <v>1.519</v>
      </c>
      <c r="D44" s="25" t="n">
        <v>0.805</v>
      </c>
      <c r="E44" s="25" t="n">
        <v>0.827</v>
      </c>
      <c r="F44" s="25" t="n">
        <v>1.446</v>
      </c>
    </row>
    <row r="45">
      <c r="A45" s="3" t="inlineStr">
        <is>
          <t>Interest Income Non Operating</t>
        </is>
      </c>
      <c r="C45" s="25" t="n">
        <v>0.098</v>
      </c>
      <c r="D45" s="25" t="n">
        <v>0.35</v>
      </c>
      <c r="E45" s="25" t="n">
        <v>2.629</v>
      </c>
      <c r="F45" s="25" t="n">
        <v>4.022</v>
      </c>
    </row>
    <row r="46">
      <c r="A46" s="3" t="inlineStr">
        <is>
          <t>Operating Income</t>
        </is>
      </c>
      <c r="C46" s="25" t="n">
        <v>-18.949</v>
      </c>
      <c r="D46" s="25" t="n">
        <v>9.050000000000001</v>
      </c>
      <c r="E46" s="25" t="n">
        <v>-56.553</v>
      </c>
      <c r="F46" s="25" t="n">
        <v>-73.42100000000001</v>
      </c>
    </row>
    <row r="47">
      <c r="A47" s="3" t="inlineStr">
        <is>
          <t>Operating Expense</t>
        </is>
      </c>
      <c r="C47" s="25" t="n">
        <v>26.242</v>
      </c>
      <c r="D47" s="25" t="n">
        <v>40.62</v>
      </c>
      <c r="E47" s="25" t="n">
        <v>56.59</v>
      </c>
      <c r="F47" s="25" t="n">
        <v>97.898</v>
      </c>
    </row>
    <row r="48">
      <c r="A48" s="3" t="inlineStr">
        <is>
          <t>Other Operating Expenses</t>
        </is>
      </c>
      <c r="C48" s="25" t="n">
        <v>10.154</v>
      </c>
      <c r="D48" s="25" t="n">
        <v>18.62</v>
      </c>
      <c r="E48" s="25" t="n">
        <v>32.383</v>
      </c>
      <c r="F48" s="25" t="n">
        <v>66.06399999999999</v>
      </c>
    </row>
    <row r="49">
      <c r="A49" s="3" t="inlineStr">
        <is>
          <t>Depreciation Amortization Depletion Income Statement</t>
        </is>
      </c>
      <c r="C49" s="25" t="n">
        <v>1.379</v>
      </c>
      <c r="D49" s="25" t="n">
        <v>2.007</v>
      </c>
      <c r="E49" s="25" t="n">
        <v>2.183</v>
      </c>
      <c r="F49" s="25" t="n">
        <v>4.474</v>
      </c>
    </row>
    <row r="50">
      <c r="A50" s="3" t="inlineStr">
        <is>
          <t>Depreciation And Amortization In Income Statement</t>
        </is>
      </c>
      <c r="C50" s="25" t="n">
        <v>1.379</v>
      </c>
      <c r="D50" s="25" t="n">
        <v>2.007</v>
      </c>
      <c r="E50" s="25" t="n">
        <v>2.183</v>
      </c>
      <c r="F50" s="25" t="n">
        <v>4.474</v>
      </c>
    </row>
    <row r="51">
      <c r="A51" s="3" t="inlineStr">
        <is>
          <t>Selling General And Administration</t>
        </is>
      </c>
      <c r="C51" s="25" t="n">
        <v>14.709</v>
      </c>
      <c r="D51" s="25" t="n">
        <v>19.993</v>
      </c>
      <c r="E51" s="25" t="n">
        <v>22.024</v>
      </c>
      <c r="F51" s="25" t="n">
        <v>27.36</v>
      </c>
    </row>
    <row r="52">
      <c r="A52" s="3" t="inlineStr">
        <is>
          <t>General And Administrative Expense</t>
        </is>
      </c>
      <c r="C52" s="25" t="n">
        <v>14.709</v>
      </c>
      <c r="D52" s="25" t="n">
        <v>19.993</v>
      </c>
      <c r="E52" s="25" t="n">
        <v>22.024</v>
      </c>
      <c r="F52" s="25" t="n">
        <v>27.36</v>
      </c>
    </row>
    <row r="53">
      <c r="A53" s="3" t="inlineStr">
        <is>
          <t>Other Gand A</t>
        </is>
      </c>
      <c r="C53" s="25" t="n">
        <v>5.888</v>
      </c>
      <c r="D53" s="25" t="n">
        <v>9.41</v>
      </c>
      <c r="E53" s="25" t="n">
        <v>9.147</v>
      </c>
      <c r="F53" s="25" t="n">
        <v>11.385</v>
      </c>
    </row>
    <row r="54">
      <c r="A54" s="3" t="inlineStr">
        <is>
          <t>Salaries And Wages</t>
        </is>
      </c>
      <c r="C54" s="25" t="n">
        <v>8.821</v>
      </c>
      <c r="D54" s="25" t="n">
        <v>10.583</v>
      </c>
      <c r="E54" s="25" t="n">
        <v>12.877</v>
      </c>
      <c r="F54" s="25" t="n">
        <v>15.975</v>
      </c>
    </row>
    <row r="55">
      <c r="A55" s="3" t="inlineStr">
        <is>
          <t>Gross Profit</t>
        </is>
      </c>
      <c r="C55" s="25" t="n">
        <v>7.293</v>
      </c>
      <c r="D55" s="25" t="n">
        <v>49.67</v>
      </c>
      <c r="E55" s="25" t="n">
        <v>0.037</v>
      </c>
      <c r="F55" s="25" t="n">
        <v>24.477</v>
      </c>
    </row>
    <row r="56">
      <c r="A56" s="3" t="inlineStr">
        <is>
          <t>Cost Of Revenue</t>
        </is>
      </c>
      <c r="C56" s="25" t="n">
        <v>15.868</v>
      </c>
      <c r="D56" s="25" t="n">
        <v>114.719</v>
      </c>
      <c r="E56" s="25" t="n">
        <v>0.187</v>
      </c>
      <c r="F56" s="25" t="n">
        <v>42.36</v>
      </c>
    </row>
    <row r="57">
      <c r="A57" s="3" t="inlineStr">
        <is>
          <t>Total Revenue</t>
        </is>
      </c>
      <c r="C57" s="25" t="n">
        <v>23.161</v>
      </c>
      <c r="D57" s="25" t="n">
        <v>164.389</v>
      </c>
      <c r="E57" s="25" t="n">
        <v>0.224</v>
      </c>
      <c r="F57" s="25" t="n">
        <v>66.837</v>
      </c>
    </row>
    <row r="58">
      <c r="A58" s="3" t="inlineStr">
        <is>
          <t>Operating Revenue</t>
        </is>
      </c>
      <c r="C58" s="25" t="n">
        <v>23.161</v>
      </c>
      <c r="D58" s="25" t="n">
        <v>164.389</v>
      </c>
      <c r="E58" s="25" t="n">
        <v>0.224</v>
      </c>
      <c r="F58" s="25" t="n">
        <v>66.837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UEC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Ordinary Shares Number</t>
        </is>
      </c>
      <c r="C5" s="25" t="n">
        <v>289.638307</v>
      </c>
      <c r="D5" s="25" t="n">
        <v>378.452864</v>
      </c>
      <c r="E5" s="25" t="n">
        <v>410.355768</v>
      </c>
      <c r="F5" s="25" t="n">
        <v>454.015855</v>
      </c>
    </row>
    <row r="6">
      <c r="A6" s="3" t="inlineStr">
        <is>
          <t>Share Issued</t>
        </is>
      </c>
      <c r="C6" s="25" t="n">
        <v>289.638307</v>
      </c>
      <c r="D6" s="25" t="n">
        <v>378.452864</v>
      </c>
      <c r="E6" s="25" t="n">
        <v>410.355768</v>
      </c>
      <c r="F6" s="25" t="n">
        <v>454.015855</v>
      </c>
    </row>
    <row r="7">
      <c r="A7" s="3" t="inlineStr">
        <is>
          <t>Total Debt</t>
        </is>
      </c>
      <c r="B7" s="25" t="n">
        <v>10.075</v>
      </c>
    </row>
    <row r="8">
      <c r="A8" s="3" t="inlineStr">
        <is>
          <t>Tangible Book Value</t>
        </is>
      </c>
      <c r="C8" s="25" t="n">
        <v>326.909</v>
      </c>
      <c r="D8" s="25" t="n">
        <v>631.827</v>
      </c>
      <c r="E8" s="25" t="n">
        <v>778.1130000000001</v>
      </c>
      <c r="F8" s="25" t="n">
        <v>983.9</v>
      </c>
    </row>
    <row r="9">
      <c r="A9" s="3" t="inlineStr">
        <is>
          <t>Invested Capital</t>
        </is>
      </c>
      <c r="C9" s="25" t="n">
        <v>326.909</v>
      </c>
      <c r="D9" s="25" t="n">
        <v>631.827</v>
      </c>
      <c r="E9" s="25" t="n">
        <v>778.1130000000001</v>
      </c>
      <c r="F9" s="25" t="n">
        <v>983.9</v>
      </c>
    </row>
    <row r="10">
      <c r="A10" s="3" t="inlineStr">
        <is>
          <t>Working Capital</t>
        </is>
      </c>
      <c r="C10" s="25" t="n">
        <v>93.693</v>
      </c>
      <c r="D10" s="25" t="n">
        <v>43.011</v>
      </c>
      <c r="E10" s="25" t="n">
        <v>206.022</v>
      </c>
      <c r="F10" s="25" t="n">
        <v>207.583</v>
      </c>
    </row>
    <row r="11">
      <c r="A11" s="3" t="inlineStr">
        <is>
          <t>Net Tangible Assets</t>
        </is>
      </c>
      <c r="C11" s="25" t="n">
        <v>326.909</v>
      </c>
      <c r="D11" s="25" t="n">
        <v>631.827</v>
      </c>
      <c r="E11" s="25" t="n">
        <v>778.1130000000001</v>
      </c>
      <c r="F11" s="25" t="n">
        <v>983.9</v>
      </c>
    </row>
    <row r="12">
      <c r="A12" s="3" t="inlineStr">
        <is>
          <t>Common Stock Equity</t>
        </is>
      </c>
      <c r="C12" s="25" t="n">
        <v>326.909</v>
      </c>
      <c r="D12" s="25" t="n">
        <v>631.827</v>
      </c>
      <c r="E12" s="25" t="n">
        <v>778.1130000000001</v>
      </c>
      <c r="F12" s="25" t="n">
        <v>983.9</v>
      </c>
    </row>
    <row r="13">
      <c r="A13" s="3" t="inlineStr">
        <is>
          <t>Total Capitalization</t>
        </is>
      </c>
      <c r="C13" s="25" t="n">
        <v>326.909</v>
      </c>
      <c r="D13" s="25" t="n">
        <v>631.827</v>
      </c>
      <c r="E13" s="25" t="n">
        <v>778.1130000000001</v>
      </c>
      <c r="F13" s="25" t="n">
        <v>983.9</v>
      </c>
    </row>
    <row r="14">
      <c r="A14" s="3" t="inlineStr">
        <is>
          <t>Total Equity Gross Minority Interest</t>
        </is>
      </c>
      <c r="C14" s="25" t="n">
        <v>326.909</v>
      </c>
      <c r="D14" s="25" t="n">
        <v>631.827</v>
      </c>
      <c r="E14" s="25" t="n">
        <v>778.1130000000001</v>
      </c>
      <c r="F14" s="25" t="n">
        <v>983.9</v>
      </c>
    </row>
    <row r="15">
      <c r="A15" s="3" t="inlineStr">
        <is>
          <t>Stockholders Equity</t>
        </is>
      </c>
      <c r="C15" s="25" t="n">
        <v>326.909</v>
      </c>
      <c r="D15" s="25" t="n">
        <v>631.827</v>
      </c>
      <c r="E15" s="25" t="n">
        <v>778.1130000000001</v>
      </c>
      <c r="F15" s="25" t="n">
        <v>983.9</v>
      </c>
    </row>
    <row r="16">
      <c r="A16" s="3" t="inlineStr">
        <is>
          <t>Other Equity Interest</t>
        </is>
      </c>
      <c r="B16" s="25" t="n">
        <v>0.36</v>
      </c>
    </row>
    <row r="17">
      <c r="A17" s="3" t="inlineStr">
        <is>
          <t>Gains Losses Not Affecting Retained Earnings</t>
        </is>
      </c>
      <c r="C17" s="25" t="n">
        <v>-0.186</v>
      </c>
      <c r="D17" s="25" t="n">
        <v>-3.608</v>
      </c>
      <c r="E17" s="25" t="n">
        <v>-13.829</v>
      </c>
      <c r="F17" s="25" t="n">
        <v>-14.417</v>
      </c>
    </row>
    <row r="18">
      <c r="A18" s="3" t="inlineStr">
        <is>
          <t>Other Equity Adjustments</t>
        </is>
      </c>
      <c r="C18" s="25" t="n">
        <v>-0.186</v>
      </c>
      <c r="D18" s="25" t="n">
        <v>-3.608</v>
      </c>
      <c r="E18" s="25" t="n">
        <v>-13.829</v>
      </c>
      <c r="F18" s="25" t="n">
        <v>-14.417</v>
      </c>
    </row>
    <row r="19">
      <c r="A19" s="3" t="inlineStr">
        <is>
          <t>Retained Earnings</t>
        </is>
      </c>
      <c r="C19" s="25" t="n">
        <v>-286.373</v>
      </c>
      <c r="D19" s="25" t="n">
        <v>-289.68</v>
      </c>
      <c r="E19" s="25" t="n">
        <v>-318.901</v>
      </c>
      <c r="F19" s="25" t="n">
        <v>-406.557</v>
      </c>
    </row>
    <row r="20">
      <c r="A20" s="3" t="inlineStr">
        <is>
          <t>Additional Paid In Capital</t>
        </is>
      </c>
      <c r="C20" s="25" t="n">
        <v>613.179</v>
      </c>
      <c r="D20" s="25" t="n">
        <v>924.737</v>
      </c>
      <c r="E20" s="25" t="n">
        <v>1110.433</v>
      </c>
      <c r="F20" s="25" t="n">
        <v>1404.42</v>
      </c>
    </row>
    <row r="21">
      <c r="A21" s="3" t="inlineStr">
        <is>
          <t>Capital Stock</t>
        </is>
      </c>
      <c r="C21" s="25" t="n">
        <v>0.289</v>
      </c>
      <c r="D21" s="25" t="n">
        <v>0.378</v>
      </c>
      <c r="E21" s="25" t="n">
        <v>0.41</v>
      </c>
      <c r="F21" s="25" t="n">
        <v>0.454</v>
      </c>
    </row>
    <row r="22">
      <c r="A22" s="3" t="inlineStr">
        <is>
          <t>Common Stock</t>
        </is>
      </c>
      <c r="C22" s="25" t="n">
        <v>0.289</v>
      </c>
      <c r="D22" s="25" t="n">
        <v>0.378</v>
      </c>
      <c r="E22" s="25" t="n">
        <v>0.41</v>
      </c>
      <c r="F22" s="25" t="n">
        <v>0.454</v>
      </c>
    </row>
    <row r="23">
      <c r="A23" s="3" t="inlineStr">
        <is>
          <t>Total Liabilities Net Minority Interest</t>
        </is>
      </c>
      <c r="C23" s="25" t="n">
        <v>27.338</v>
      </c>
      <c r="D23" s="25" t="n">
        <v>105.762</v>
      </c>
      <c r="E23" s="25" t="n">
        <v>111.715</v>
      </c>
      <c r="F23" s="25" t="n">
        <v>123.753</v>
      </c>
    </row>
    <row r="24">
      <c r="A24" s="3" t="inlineStr">
        <is>
          <t>Total Non Current Liabilities Net Minority Interest</t>
        </is>
      </c>
      <c r="C24" s="25" t="n">
        <v>18.84</v>
      </c>
      <c r="D24" s="25" t="n">
        <v>93.568</v>
      </c>
      <c r="E24" s="25" t="n">
        <v>82.49299999999999</v>
      </c>
      <c r="F24" s="25" t="n">
        <v>97.31999999999999</v>
      </c>
    </row>
    <row r="25">
      <c r="A25" s="3" t="inlineStr">
        <is>
          <t>Other Non Current Liabilities</t>
        </is>
      </c>
      <c r="C25" s="25" t="n">
        <v>1.028</v>
      </c>
      <c r="D25" s="25" t="n">
        <v>1.02</v>
      </c>
      <c r="E25" s="25" t="n">
        <v>1.474</v>
      </c>
      <c r="F25" s="25" t="n">
        <v>1.293</v>
      </c>
    </row>
    <row r="26">
      <c r="A26" s="3" t="inlineStr">
        <is>
          <t>Derivative Product Liabilities</t>
        </is>
      </c>
      <c r="C26" s="25" t="n">
        <v>0</v>
      </c>
      <c r="D26" s="25" t="n">
        <v>4.313</v>
      </c>
      <c r="E26" s="25" t="n">
        <v>0</v>
      </c>
    </row>
    <row r="27">
      <c r="A27" s="3" t="inlineStr">
        <is>
          <t>Non Current Deferred Liabilities</t>
        </is>
      </c>
      <c r="C27" s="25" t="n">
        <v>0.536</v>
      </c>
      <c r="D27" s="25" t="n">
        <v>71.08</v>
      </c>
      <c r="E27" s="25" t="n">
        <v>64.34699999999999</v>
      </c>
      <c r="F27" s="25" t="n">
        <v>62.123</v>
      </c>
    </row>
    <row r="28">
      <c r="A28" s="3" t="inlineStr">
        <is>
          <t>Non Current Deferred Taxes Liabilities</t>
        </is>
      </c>
      <c r="C28" s="25" t="n">
        <v>0.536</v>
      </c>
      <c r="D28" s="25" t="n">
        <v>71.08</v>
      </c>
      <c r="E28" s="25" t="n">
        <v>64.34699999999999</v>
      </c>
      <c r="F28" s="25" t="n">
        <v>62.123</v>
      </c>
    </row>
    <row r="29">
      <c r="A29" s="3" t="inlineStr">
        <is>
          <t>Long Term Debt And Capital Lease Obligation</t>
        </is>
      </c>
      <c r="B29" s="25" t="n">
        <v>0.065952</v>
      </c>
    </row>
    <row r="30">
      <c r="A30" s="3" t="inlineStr">
        <is>
          <t>Long Term Debt</t>
        </is>
      </c>
      <c r="B30" s="25" t="n">
        <v>0.065952</v>
      </c>
    </row>
    <row r="31">
      <c r="A31" s="3" t="inlineStr">
        <is>
          <t>Long Term Provisions</t>
        </is>
      </c>
      <c r="C31" s="25" t="n">
        <v>17.276</v>
      </c>
      <c r="D31" s="25" t="n">
        <v>17.155</v>
      </c>
      <c r="E31" s="25" t="n">
        <v>16.672</v>
      </c>
      <c r="F31" s="25" t="n">
        <v>33.904</v>
      </c>
    </row>
    <row r="32">
      <c r="A32" s="3" t="inlineStr">
        <is>
          <t>Current Liabilities</t>
        </is>
      </c>
      <c r="C32" s="25" t="n">
        <v>8.497999999999999</v>
      </c>
      <c r="D32" s="25" t="n">
        <v>12.194</v>
      </c>
      <c r="E32" s="25" t="n">
        <v>29.222</v>
      </c>
      <c r="F32" s="25" t="n">
        <v>26.433</v>
      </c>
    </row>
    <row r="33">
      <c r="A33" s="3" t="inlineStr">
        <is>
          <t>Other Current Liabilities</t>
        </is>
      </c>
      <c r="C33" s="25" t="n">
        <v>0.336</v>
      </c>
      <c r="D33" s="25" t="n">
        <v>0.154</v>
      </c>
      <c r="E33" s="25" t="n">
        <v>3.331</v>
      </c>
      <c r="F33" s="25" t="n">
        <v>0.713</v>
      </c>
    </row>
    <row r="34">
      <c r="A34" s="3" t="inlineStr">
        <is>
          <t>Current Debt And Capital Lease Obligation</t>
        </is>
      </c>
      <c r="B34" s="25" t="n">
        <v>10.075</v>
      </c>
    </row>
    <row r="35">
      <c r="A35" s="3" t="inlineStr">
        <is>
          <t>Current Debt</t>
        </is>
      </c>
      <c r="B35" s="25" t="n">
        <v>10.075</v>
      </c>
    </row>
    <row r="36">
      <c r="A36" s="3" t="inlineStr">
        <is>
          <t>Other Current Borrowings</t>
        </is>
      </c>
      <c r="B36" s="25" t="n">
        <v>0.19151</v>
      </c>
    </row>
    <row r="37">
      <c r="A37" s="3" t="inlineStr">
        <is>
          <t>Line Of Credit</t>
        </is>
      </c>
      <c r="B37" s="25" t="n">
        <v>10.075</v>
      </c>
      <c r="C37" s="25" t="n">
        <v>0</v>
      </c>
    </row>
    <row r="38">
      <c r="A38" s="3" t="inlineStr">
        <is>
          <t>Current Provisions</t>
        </is>
      </c>
      <c r="D38" s="25" t="n">
        <v>1.515</v>
      </c>
      <c r="E38" s="25" t="n">
        <v>2.953</v>
      </c>
      <c r="F38" s="25" t="n">
        <v>5.16</v>
      </c>
    </row>
    <row r="39">
      <c r="A39" s="3" t="inlineStr">
        <is>
          <t>Payables And Accrued Expenses</t>
        </is>
      </c>
      <c r="C39" s="25" t="n">
        <v>8.162000000000001</v>
      </c>
      <c r="D39" s="25" t="n">
        <v>10.525</v>
      </c>
      <c r="E39" s="25" t="n">
        <v>22.938</v>
      </c>
      <c r="F39" s="25" t="n">
        <v>20.56</v>
      </c>
    </row>
    <row r="40">
      <c r="A40" s="3" t="inlineStr">
        <is>
          <t>Current Accrued Expenses</t>
        </is>
      </c>
      <c r="C40" s="25" t="n">
        <v>5.443</v>
      </c>
      <c r="D40" s="25" t="n">
        <v>4.949</v>
      </c>
      <c r="E40" s="25" t="n">
        <v>7.075</v>
      </c>
      <c r="F40" s="25" t="n">
        <v>9.975</v>
      </c>
    </row>
    <row r="41">
      <c r="A41" s="3" t="inlineStr">
        <is>
          <t>Payables</t>
        </is>
      </c>
      <c r="C41" s="25" t="n">
        <v>2.719</v>
      </c>
      <c r="D41" s="25" t="n">
        <v>5.576</v>
      </c>
      <c r="E41" s="25" t="n">
        <v>15.863</v>
      </c>
      <c r="F41" s="25" t="n">
        <v>10.585</v>
      </c>
    </row>
    <row r="42">
      <c r="A42" s="3" t="inlineStr">
        <is>
          <t>Other Payable</t>
        </is>
      </c>
      <c r="C42" s="25" t="n">
        <v>0.7</v>
      </c>
      <c r="D42" s="25" t="n">
        <v>0.704</v>
      </c>
    </row>
    <row r="43">
      <c r="A43" s="3" t="inlineStr">
        <is>
          <t>Dueto Related Parties Current</t>
        </is>
      </c>
      <c r="B43" s="25" t="n">
        <v>0.000843</v>
      </c>
    </row>
    <row r="44">
      <c r="A44" s="3" t="inlineStr">
        <is>
          <t>Accounts Payable</t>
        </is>
      </c>
      <c r="C44" s="25" t="n">
        <v>2.019</v>
      </c>
      <c r="D44" s="25" t="n">
        <v>5.576</v>
      </c>
      <c r="E44" s="25" t="n">
        <v>15.863</v>
      </c>
      <c r="F44" s="25" t="n">
        <v>10.585</v>
      </c>
    </row>
    <row r="45">
      <c r="A45" s="3" t="inlineStr">
        <is>
          <t>Total Assets</t>
        </is>
      </c>
      <c r="C45" s="25" t="n">
        <v>354.247</v>
      </c>
      <c r="D45" s="25" t="n">
        <v>737.5890000000001</v>
      </c>
      <c r="E45" s="25" t="n">
        <v>889.828</v>
      </c>
      <c r="F45" s="25" t="n">
        <v>1107.653</v>
      </c>
    </row>
    <row r="46">
      <c r="A46" s="3" t="inlineStr">
        <is>
          <t>Total Non Current Assets</t>
        </is>
      </c>
      <c r="C46" s="25" t="n">
        <v>252.056</v>
      </c>
      <c r="D46" s="25" t="n">
        <v>682.384</v>
      </c>
      <c r="E46" s="25" t="n">
        <v>654.5839999999999</v>
      </c>
      <c r="F46" s="25" t="n">
        <v>873.6369999999999</v>
      </c>
    </row>
    <row r="47">
      <c r="A47" s="3" t="inlineStr">
        <is>
          <t>Other Non Current Assets</t>
        </is>
      </c>
      <c r="C47" s="25" t="n">
        <v>10.863</v>
      </c>
      <c r="D47" s="25" t="n">
        <v>10.33</v>
      </c>
      <c r="E47" s="25" t="n">
        <v>11.194</v>
      </c>
      <c r="F47" s="25" t="n">
        <v>12.178</v>
      </c>
    </row>
    <row r="48">
      <c r="A48" s="3" t="inlineStr">
        <is>
          <t>Investments And Advances</t>
        </is>
      </c>
      <c r="C48" s="25" t="n">
        <v>39.011</v>
      </c>
      <c r="D48" s="25" t="n">
        <v>86.76600000000001</v>
      </c>
      <c r="E48" s="25" t="n">
        <v>65.342</v>
      </c>
      <c r="F48" s="25" t="n">
        <v>84.295</v>
      </c>
    </row>
    <row r="49">
      <c r="A49" s="3" t="inlineStr">
        <is>
          <t>Investmentin Financial Assets</t>
        </is>
      </c>
      <c r="C49" s="25" t="n">
        <v>14.834</v>
      </c>
      <c r="D49" s="25" t="n">
        <v>38.656</v>
      </c>
      <c r="E49" s="25" t="n">
        <v>6.533</v>
      </c>
      <c r="F49" s="25" t="n">
        <v>28.47</v>
      </c>
    </row>
    <row r="50">
      <c r="A50" s="3" t="inlineStr">
        <is>
          <t>Available For Sale Securities</t>
        </is>
      </c>
      <c r="C50" s="25" t="n">
        <v>14.834</v>
      </c>
      <c r="D50" s="25" t="n">
        <v>38.656</v>
      </c>
      <c r="E50" s="25" t="n">
        <v>6.533</v>
      </c>
      <c r="F50" s="25" t="n">
        <v>28.47</v>
      </c>
    </row>
    <row r="51">
      <c r="A51" s="3" t="inlineStr">
        <is>
          <t>Long Term Equity Investment</t>
        </is>
      </c>
      <c r="C51" s="25" t="n">
        <v>24.177</v>
      </c>
      <c r="D51" s="25" t="n">
        <v>48.11</v>
      </c>
      <c r="E51" s="25" t="n">
        <v>58.809</v>
      </c>
      <c r="F51" s="25" t="n">
        <v>55.825</v>
      </c>
    </row>
    <row r="52">
      <c r="A52" s="3" t="inlineStr">
        <is>
          <t>Net PPE</t>
        </is>
      </c>
      <c r="C52" s="25" t="n">
        <v>202.182</v>
      </c>
      <c r="D52" s="25" t="n">
        <v>585.288</v>
      </c>
      <c r="E52" s="25" t="n">
        <v>578.048</v>
      </c>
      <c r="F52" s="25" t="n">
        <v>777.164</v>
      </c>
    </row>
    <row r="53">
      <c r="A53" s="3" t="inlineStr">
        <is>
          <t>Accumulated Depreciation</t>
        </is>
      </c>
      <c r="C53" s="25" t="n">
        <v>-12.489</v>
      </c>
      <c r="D53" s="25" t="n">
        <v>-13.513</v>
      </c>
      <c r="E53" s="25" t="n">
        <v>-14.527</v>
      </c>
      <c r="F53" s="25" t="n">
        <v>-18.298</v>
      </c>
    </row>
    <row r="54">
      <c r="A54" s="3" t="inlineStr">
        <is>
          <t>Gross PPE</t>
        </is>
      </c>
      <c r="C54" s="25" t="n">
        <v>214.671</v>
      </c>
      <c r="D54" s="25" t="n">
        <v>598.801</v>
      </c>
      <c r="E54" s="25" t="n">
        <v>592.575</v>
      </c>
      <c r="F54" s="25" t="n">
        <v>795.462</v>
      </c>
    </row>
    <row r="55">
      <c r="A55" s="3" t="inlineStr">
        <is>
          <t>Other Properties</t>
        </is>
      </c>
      <c r="B55" s="25" t="n">
        <v>1.924</v>
      </c>
      <c r="C55" s="25" t="n">
        <v>2.666</v>
      </c>
    </row>
    <row r="56">
      <c r="A56" s="3" t="inlineStr">
        <is>
          <t>Machinery Furniture Equipment</t>
        </is>
      </c>
      <c r="C56" s="25" t="n">
        <v>22.18</v>
      </c>
      <c r="D56" s="25" t="n">
        <v>22.448</v>
      </c>
      <c r="E56" s="25" t="n">
        <v>23.341</v>
      </c>
      <c r="F56" s="25" t="n">
        <v>67.649</v>
      </c>
    </row>
    <row r="57">
      <c r="A57" s="3" t="inlineStr">
        <is>
          <t>Buildings And Improvements</t>
        </is>
      </c>
      <c r="C57" s="25" t="n">
        <v>0.298</v>
      </c>
      <c r="D57" s="25" t="n">
        <v>0.297</v>
      </c>
      <c r="E57" s="25" t="n">
        <v>0.337</v>
      </c>
      <c r="F57" s="25" t="n">
        <v>2.086</v>
      </c>
    </row>
    <row r="58">
      <c r="A58" s="3" t="inlineStr">
        <is>
          <t>Land And Improvements</t>
        </is>
      </c>
      <c r="C58" s="25" t="n">
        <v>1.08</v>
      </c>
      <c r="D58" s="25" t="n">
        <v>1.08</v>
      </c>
      <c r="E58" s="25" t="n">
        <v>1.08</v>
      </c>
      <c r="F58" s="25" t="n">
        <v>1.514</v>
      </c>
    </row>
    <row r="59">
      <c r="A59" s="3" t="inlineStr">
        <is>
          <t>Current Assets</t>
        </is>
      </c>
      <c r="C59" s="25" t="n">
        <v>102.191</v>
      </c>
      <c r="D59" s="25" t="n">
        <v>55.205</v>
      </c>
      <c r="E59" s="25" t="n">
        <v>235.244</v>
      </c>
      <c r="F59" s="25" t="n">
        <v>234.016</v>
      </c>
    </row>
    <row r="60">
      <c r="A60" s="3" t="inlineStr">
        <is>
          <t>Other Current Assets</t>
        </is>
      </c>
      <c r="B60" s="25" t="n">
        <v>0.126</v>
      </c>
      <c r="C60" s="25" t="n">
        <v>0.214</v>
      </c>
      <c r="D60" s="25" t="n">
        <v>0.702</v>
      </c>
      <c r="E60" s="25" t="n">
        <v>0.694</v>
      </c>
    </row>
    <row r="61">
      <c r="A61" s="3" t="inlineStr">
        <is>
          <t>Prepaid Assets</t>
        </is>
      </c>
      <c r="B61" s="25" t="n">
        <v>1.434</v>
      </c>
      <c r="C61" s="25" t="n">
        <v>2.871</v>
      </c>
      <c r="D61" s="25" t="n">
        <v>2.682</v>
      </c>
      <c r="E61" s="25" t="n">
        <v>2.453</v>
      </c>
    </row>
    <row r="62">
      <c r="A62" s="3" t="inlineStr">
        <is>
          <t>Inventory</t>
        </is>
      </c>
      <c r="C62" s="25" t="n">
        <v>66.56999999999999</v>
      </c>
      <c r="D62" s="25" t="n">
        <v>6.207</v>
      </c>
      <c r="E62" s="25" t="n">
        <v>75.833</v>
      </c>
      <c r="F62" s="25" t="n">
        <v>79.279</v>
      </c>
    </row>
    <row r="63">
      <c r="A63" s="3" t="inlineStr">
        <is>
          <t>Other Inventories</t>
        </is>
      </c>
      <c r="D63" s="25" t="n">
        <v>5.801</v>
      </c>
      <c r="E63" s="25" t="n">
        <v>75.44</v>
      </c>
      <c r="F63" s="25" t="n">
        <v>72.899</v>
      </c>
    </row>
    <row r="64">
      <c r="A64" s="3" t="inlineStr">
        <is>
          <t>Finished Goods</t>
        </is>
      </c>
      <c r="C64" s="25" t="n">
        <v>66.33799999999999</v>
      </c>
      <c r="D64" s="25" t="n">
        <v>0.178</v>
      </c>
      <c r="E64" s="25" t="n">
        <v>0.178</v>
      </c>
      <c r="F64" s="25" t="n">
        <v>1.14</v>
      </c>
    </row>
    <row r="65">
      <c r="A65" s="3" t="inlineStr">
        <is>
          <t>Work In Process</t>
        </is>
      </c>
      <c r="E65" s="25" t="n">
        <v>0</v>
      </c>
      <c r="F65" s="25" t="n">
        <v>3.77</v>
      </c>
    </row>
    <row r="66">
      <c r="A66" s="3" t="inlineStr">
        <is>
          <t>Raw Materials</t>
        </is>
      </c>
      <c r="C66" s="25" t="n">
        <v>0.232</v>
      </c>
      <c r="D66" s="25" t="n">
        <v>0.228</v>
      </c>
      <c r="E66" s="25" t="n">
        <v>0.215</v>
      </c>
      <c r="F66" s="25" t="n">
        <v>1.47</v>
      </c>
    </row>
    <row r="67">
      <c r="A67" s="3" t="inlineStr">
        <is>
          <t>Receivables</t>
        </is>
      </c>
      <c r="C67" s="25" t="n">
        <v>2.871</v>
      </c>
      <c r="D67" s="25" t="n">
        <v>2.682</v>
      </c>
      <c r="E67" s="25" t="n">
        <v>3.147</v>
      </c>
      <c r="F67" s="25" t="n">
        <v>5.807</v>
      </c>
    </row>
    <row r="68">
      <c r="A68" s="3" t="inlineStr">
        <is>
          <t>Other Receivables</t>
        </is>
      </c>
      <c r="C68" s="25" t="n">
        <v>2.871</v>
      </c>
      <c r="D68" s="25" t="n">
        <v>2.682</v>
      </c>
      <c r="E68" s="25" t="n">
        <v>3.147</v>
      </c>
      <c r="F68" s="25" t="n">
        <v>5.807</v>
      </c>
    </row>
    <row r="69">
      <c r="A69" s="3" t="inlineStr">
        <is>
          <t>Cash Cash Equivalents And Short Term Investments</t>
        </is>
      </c>
      <c r="C69" s="25" t="n">
        <v>32.536</v>
      </c>
      <c r="D69" s="25" t="n">
        <v>45.614</v>
      </c>
      <c r="E69" s="25" t="n">
        <v>156.264</v>
      </c>
      <c r="F69" s="25" t="n">
        <v>148.93</v>
      </c>
    </row>
    <row r="70">
      <c r="A70" s="3" t="inlineStr">
        <is>
          <t>Other Short Term Investments</t>
        </is>
      </c>
      <c r="D70" s="25" t="n">
        <v>0</v>
      </c>
      <c r="E70" s="25" t="n">
        <v>68.73099999999999</v>
      </c>
      <c r="F70" s="25" t="n">
        <v>0</v>
      </c>
    </row>
    <row r="71">
      <c r="A71" s="3" t="inlineStr">
        <is>
          <t>Cash And Cash Equivalents</t>
        </is>
      </c>
      <c r="C71" s="25" t="n">
        <v>32.536</v>
      </c>
      <c r="D71" s="25" t="n">
        <v>45.614</v>
      </c>
      <c r="E71" s="25" t="n">
        <v>87.533</v>
      </c>
      <c r="F71" s="25" t="n">
        <v>148.93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UEC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-54.197</v>
      </c>
      <c r="D5" s="25" t="n">
        <v>71.917</v>
      </c>
      <c r="E5" s="25" t="n">
        <v>-109.915</v>
      </c>
      <c r="F5" s="25" t="n">
        <v>-70.15300000000001</v>
      </c>
    </row>
    <row r="6">
      <c r="A6" s="3" t="inlineStr">
        <is>
          <t>Repurchase Of Capital Stock</t>
        </is>
      </c>
      <c r="B6" s="25" t="n">
        <v>-0.833363</v>
      </c>
      <c r="C6" s="25" t="n">
        <v>-0.5570000000000001</v>
      </c>
    </row>
    <row r="7">
      <c r="A7" s="3" t="inlineStr">
        <is>
          <t>Repayment Of Debt</t>
        </is>
      </c>
      <c r="C7" s="25" t="n">
        <v>-10.191</v>
      </c>
      <c r="D7" s="25" t="n">
        <v>-0.066</v>
      </c>
      <c r="E7" s="25" t="n">
        <v>0</v>
      </c>
      <c r="F7" s="25" t="n">
        <v>0</v>
      </c>
    </row>
    <row r="8">
      <c r="A8" s="3" t="inlineStr">
        <is>
          <t>Issuance Of Debt</t>
        </is>
      </c>
      <c r="B8" s="25" t="n">
        <v>0</v>
      </c>
      <c r="C8" s="25" t="n">
        <v>0</v>
      </c>
    </row>
    <row r="9">
      <c r="A9" s="3" t="inlineStr">
        <is>
          <t>Issuance Of Capital Stock</t>
        </is>
      </c>
      <c r="C9" s="25" t="n">
        <v>168.014</v>
      </c>
      <c r="D9" s="25" t="n">
        <v>66.527</v>
      </c>
      <c r="E9" s="25" t="n">
        <v>176.708</v>
      </c>
      <c r="F9" s="25" t="n">
        <v>287.513</v>
      </c>
    </row>
    <row r="10">
      <c r="A10" s="3" t="inlineStr">
        <is>
          <t>Capital Expenditure</t>
        </is>
      </c>
      <c r="C10" s="25" t="n">
        <v>-1.21</v>
      </c>
      <c r="D10" s="25" t="n">
        <v>-0.656</v>
      </c>
      <c r="E10" s="25" t="n">
        <v>-3.428</v>
      </c>
      <c r="F10" s="25" t="n">
        <v>-5.695</v>
      </c>
    </row>
    <row r="11">
      <c r="A11" s="3" t="inlineStr">
        <is>
          <t>End Cash Position</t>
        </is>
      </c>
      <c r="C11" s="25" t="n">
        <v>39.787</v>
      </c>
      <c r="D11" s="25" t="n">
        <v>52.865</v>
      </c>
      <c r="E11" s="25" t="n">
        <v>94.78400000000001</v>
      </c>
      <c r="F11" s="25" t="n">
        <v>158.137</v>
      </c>
    </row>
    <row r="12">
      <c r="A12" s="3" t="inlineStr">
        <is>
          <t>Beginning Cash Position</t>
        </is>
      </c>
      <c r="C12" s="25" t="n">
        <v>46.351</v>
      </c>
      <c r="D12" s="25" t="n">
        <v>39.787</v>
      </c>
      <c r="E12" s="25" t="n">
        <v>52.865</v>
      </c>
      <c r="F12" s="25" t="n">
        <v>94.78400000000001</v>
      </c>
    </row>
    <row r="13">
      <c r="A13" s="3" t="inlineStr">
        <is>
          <t>Effect Of Exchange Rate Changes</t>
        </is>
      </c>
      <c r="C13" s="25" t="n">
        <v>0</v>
      </c>
      <c r="D13" s="25" t="n">
        <v>-0.132</v>
      </c>
      <c r="E13" s="25" t="n">
        <v>-0.029</v>
      </c>
      <c r="F13" s="25" t="n">
        <v>0.001</v>
      </c>
    </row>
    <row r="14">
      <c r="A14" s="3" t="inlineStr">
        <is>
          <t>Changes In Cash</t>
        </is>
      </c>
      <c r="C14" s="25" t="n">
        <v>-6.564</v>
      </c>
      <c r="D14" s="25" t="n">
        <v>13.21</v>
      </c>
      <c r="E14" s="25" t="n">
        <v>41.948</v>
      </c>
      <c r="F14" s="25" t="n">
        <v>63.352</v>
      </c>
    </row>
    <row r="15">
      <c r="A15" s="3" t="inlineStr">
        <is>
          <t>Financing Cash Flow</t>
        </is>
      </c>
      <c r="C15" s="25" t="n">
        <v>157.266</v>
      </c>
      <c r="D15" s="25" t="n">
        <v>65.417</v>
      </c>
      <c r="E15" s="25" t="n">
        <v>173.076</v>
      </c>
      <c r="F15" s="25" t="n">
        <v>284.839</v>
      </c>
    </row>
    <row r="16">
      <c r="A16" s="3" t="inlineStr">
        <is>
          <t>Cash Flow From Continuing Financing Activities</t>
        </is>
      </c>
      <c r="C16" s="25" t="n">
        <v>157.266</v>
      </c>
      <c r="D16" s="25" t="n">
        <v>65.417</v>
      </c>
      <c r="E16" s="25" t="n">
        <v>173.076</v>
      </c>
      <c r="F16" s="25" t="n">
        <v>284.839</v>
      </c>
    </row>
    <row r="17">
      <c r="A17" s="3" t="inlineStr">
        <is>
          <t>Net Other Financing Charges</t>
        </is>
      </c>
      <c r="C17" s="25" t="n">
        <v>-0.5570000000000001</v>
      </c>
      <c r="D17" s="25" t="n">
        <v>-1.044</v>
      </c>
      <c r="E17" s="25" t="n">
        <v>-3.632</v>
      </c>
      <c r="F17" s="25" t="n">
        <v>-2.674</v>
      </c>
    </row>
    <row r="18">
      <c r="A18" s="3" t="inlineStr">
        <is>
          <t>Proceeds From Stock Option Exercised</t>
        </is>
      </c>
      <c r="B18" s="25" t="n">
        <v>-0.833</v>
      </c>
      <c r="C18" s="25" t="n">
        <v>-0.5570000000000001</v>
      </c>
      <c r="D18" s="25" t="n">
        <v>-1.044</v>
      </c>
    </row>
    <row r="19">
      <c r="A19" s="3" t="inlineStr">
        <is>
          <t>Net Common Stock Issuance</t>
        </is>
      </c>
      <c r="C19" s="25" t="n">
        <v>168.014</v>
      </c>
      <c r="D19" s="25" t="n">
        <v>66.527</v>
      </c>
      <c r="E19" s="25" t="n">
        <v>176.708</v>
      </c>
      <c r="F19" s="25" t="n">
        <v>287.513</v>
      </c>
    </row>
    <row r="20">
      <c r="A20" s="3" t="inlineStr">
        <is>
          <t>Common Stock Payments</t>
        </is>
      </c>
      <c r="B20" s="25" t="n">
        <v>-0.833363</v>
      </c>
      <c r="C20" s="25" t="n">
        <v>-0.5570000000000001</v>
      </c>
    </row>
    <row r="21">
      <c r="A21" s="3" t="inlineStr">
        <is>
          <t>Common Stock Issuance</t>
        </is>
      </c>
      <c r="C21" s="25" t="n">
        <v>168.014</v>
      </c>
      <c r="D21" s="25" t="n">
        <v>66.527</v>
      </c>
      <c r="E21" s="25" t="n">
        <v>176.708</v>
      </c>
      <c r="F21" s="25" t="n">
        <v>287.513</v>
      </c>
    </row>
    <row r="22">
      <c r="A22" s="3" t="inlineStr">
        <is>
          <t>Net Issuance Payments Of Debt</t>
        </is>
      </c>
      <c r="C22" s="25" t="n">
        <v>-10.191</v>
      </c>
      <c r="D22" s="25" t="n">
        <v>-0.066</v>
      </c>
      <c r="E22" s="25" t="n">
        <v>0</v>
      </c>
      <c r="F22" s="25" t="n">
        <v>0</v>
      </c>
    </row>
    <row r="23">
      <c r="A23" s="3" t="inlineStr">
        <is>
          <t>Net Long Term Debt Issuance</t>
        </is>
      </c>
      <c r="C23" s="25" t="n">
        <v>-10.191</v>
      </c>
      <c r="D23" s="25" t="n">
        <v>-0.066</v>
      </c>
      <c r="E23" s="25" t="n">
        <v>0</v>
      </c>
      <c r="F23" s="25" t="n">
        <v>0</v>
      </c>
    </row>
    <row r="24">
      <c r="A24" s="3" t="inlineStr">
        <is>
          <t>Long Term Debt Payments</t>
        </is>
      </c>
      <c r="C24" s="25" t="n">
        <v>-10.191</v>
      </c>
      <c r="D24" s="25" t="n">
        <v>-0.066</v>
      </c>
      <c r="E24" s="25" t="n">
        <v>0</v>
      </c>
      <c r="F24" s="25" t="n">
        <v>0</v>
      </c>
    </row>
    <row r="25">
      <c r="A25" s="3" t="inlineStr">
        <is>
          <t>Long Term Debt Issuance</t>
        </is>
      </c>
      <c r="B25" s="25" t="n">
        <v>0</v>
      </c>
      <c r="C25" s="25" t="n">
        <v>0</v>
      </c>
    </row>
    <row r="26">
      <c r="A26" s="3" t="inlineStr">
        <is>
          <t>Investing Cash Flow</t>
        </is>
      </c>
      <c r="C26" s="25" t="n">
        <v>-110.843</v>
      </c>
      <c r="D26" s="25" t="n">
        <v>-124.78</v>
      </c>
      <c r="E26" s="25" t="n">
        <v>-24.641</v>
      </c>
      <c r="F26" s="25" t="n">
        <v>-157.029</v>
      </c>
    </row>
    <row r="27">
      <c r="A27" s="3" t="inlineStr">
        <is>
          <t>Cash Flow From Continuing Investing Activities</t>
        </is>
      </c>
      <c r="C27" s="25" t="n">
        <v>-110.843</v>
      </c>
      <c r="D27" s="25" t="n">
        <v>-124.78</v>
      </c>
      <c r="E27" s="25" t="n">
        <v>-24.641</v>
      </c>
      <c r="F27" s="25" t="n">
        <v>-157.029</v>
      </c>
    </row>
    <row r="28">
      <c r="A28" s="3" t="inlineStr">
        <is>
          <t>Net Other Investing Changes</t>
        </is>
      </c>
      <c r="C28" s="25" t="n">
        <v>9.19</v>
      </c>
      <c r="D28" s="25" t="n">
        <v>0.026</v>
      </c>
      <c r="E28" s="25" t="n">
        <v>0.008</v>
      </c>
      <c r="F28" s="25" t="n">
        <v>-179.539</v>
      </c>
    </row>
    <row r="29">
      <c r="A29" s="3" t="inlineStr">
        <is>
          <t>Net Investment Purchase And Sale</t>
        </is>
      </c>
      <c r="C29" s="25" t="n">
        <v>-5.235</v>
      </c>
      <c r="D29" s="25" t="n">
        <v>-42.602</v>
      </c>
      <c r="E29" s="25" t="n">
        <v>-9.106999999999999</v>
      </c>
      <c r="F29" s="25" t="n">
        <v>28.743</v>
      </c>
    </row>
    <row r="30">
      <c r="A30" s="3" t="inlineStr">
        <is>
          <t>Sale Of Investment</t>
        </is>
      </c>
      <c r="C30" s="25" t="n">
        <v>9.98</v>
      </c>
      <c r="D30" s="25" t="n">
        <v>4.59</v>
      </c>
      <c r="E30" s="25" t="n">
        <v>3.008</v>
      </c>
      <c r="F30" s="25" t="n">
        <v>54.438</v>
      </c>
    </row>
    <row r="31">
      <c r="A31" s="3" t="inlineStr">
        <is>
          <t>Purchase Of Investment</t>
        </is>
      </c>
      <c r="C31" s="25" t="n">
        <v>-15.215</v>
      </c>
      <c r="D31" s="25" t="n">
        <v>-47.192</v>
      </c>
      <c r="E31" s="25" t="n">
        <v>-12.115</v>
      </c>
      <c r="F31" s="25" t="n">
        <v>-25.695</v>
      </c>
    </row>
    <row r="32">
      <c r="A32" s="3" t="inlineStr">
        <is>
          <t>Net Business Purchase And Sale</t>
        </is>
      </c>
      <c r="C32" s="25" t="n">
        <v>-113.588</v>
      </c>
      <c r="D32" s="25" t="n">
        <v>-81.548</v>
      </c>
      <c r="E32" s="25" t="n">
        <v>-12.114</v>
      </c>
      <c r="F32" s="25" t="n">
        <v>-0.538</v>
      </c>
    </row>
    <row r="33">
      <c r="A33" s="3" t="inlineStr">
        <is>
          <t>Sale Of Business</t>
        </is>
      </c>
      <c r="C33" s="25" t="n">
        <v>0</v>
      </c>
      <c r="D33" s="25" t="n">
        <v>1.984</v>
      </c>
      <c r="E33" s="25" t="n">
        <v>0</v>
      </c>
      <c r="F33" s="25" t="n">
        <v>0</v>
      </c>
    </row>
    <row r="34">
      <c r="A34" s="3" t="inlineStr">
        <is>
          <t>Purchase Of Business</t>
        </is>
      </c>
      <c r="C34" s="25" t="n">
        <v>-113.588</v>
      </c>
      <c r="D34" s="25" t="n">
        <v>-83.532</v>
      </c>
      <c r="E34" s="25" t="n">
        <v>-12.114</v>
      </c>
      <c r="F34" s="25" t="n">
        <v>-0.538</v>
      </c>
    </row>
    <row r="35">
      <c r="A35" s="3" t="inlineStr">
        <is>
          <t>Net PPE Purchase And Sale</t>
        </is>
      </c>
      <c r="C35" s="25" t="n">
        <v>-1.21</v>
      </c>
      <c r="D35" s="25" t="n">
        <v>-0.656</v>
      </c>
      <c r="E35" s="25" t="n">
        <v>-3.428</v>
      </c>
      <c r="F35" s="25" t="n">
        <v>-5.695</v>
      </c>
    </row>
    <row r="36">
      <c r="A36" s="3" t="inlineStr">
        <is>
          <t>Purchase Of PPE</t>
        </is>
      </c>
      <c r="C36" s="25" t="n">
        <v>-1.21</v>
      </c>
      <c r="D36" s="25" t="n">
        <v>-0.656</v>
      </c>
      <c r="E36" s="25" t="n">
        <v>-3.428</v>
      </c>
      <c r="F36" s="25" t="n">
        <v>-5.695</v>
      </c>
    </row>
    <row r="37">
      <c r="A37" s="3" t="inlineStr">
        <is>
          <t>Operating Cash Flow</t>
        </is>
      </c>
      <c r="C37" s="25" t="n">
        <v>-52.987</v>
      </c>
      <c r="D37" s="25" t="n">
        <v>72.57299999999999</v>
      </c>
      <c r="E37" s="25" t="n">
        <v>-106.487</v>
      </c>
      <c r="F37" s="25" t="n">
        <v>-64.458</v>
      </c>
    </row>
    <row r="38">
      <c r="A38" s="3" t="inlineStr">
        <is>
          <t>Cash Flow From Continuing Operating Activities</t>
        </is>
      </c>
      <c r="C38" s="25" t="n">
        <v>-52.987</v>
      </c>
      <c r="D38" s="25" t="n">
        <v>72.57299999999999</v>
      </c>
      <c r="E38" s="25" t="n">
        <v>-106.487</v>
      </c>
      <c r="F38" s="25" t="n">
        <v>-64.458</v>
      </c>
    </row>
    <row r="39">
      <c r="A39" s="3" t="inlineStr">
        <is>
          <t>Change In Working Capital</t>
        </is>
      </c>
      <c r="C39" s="25" t="n">
        <v>-35.495</v>
      </c>
      <c r="D39" s="25" t="n">
        <v>57.032</v>
      </c>
      <c r="E39" s="25" t="n">
        <v>-59.318</v>
      </c>
      <c r="F39" s="25" t="n">
        <v>-4.319</v>
      </c>
    </row>
    <row r="40">
      <c r="A40" s="3" t="inlineStr">
        <is>
          <t>Change In Other Current Liabilities</t>
        </is>
      </c>
      <c r="C40" s="25" t="n">
        <v>-0.17</v>
      </c>
      <c r="D40" s="25" t="n">
        <v>0.058</v>
      </c>
      <c r="E40" s="25" t="n">
        <v>0.022</v>
      </c>
      <c r="F40" s="25" t="n">
        <v>0.228</v>
      </c>
    </row>
    <row r="41">
      <c r="A41" s="3" t="inlineStr">
        <is>
          <t>Change In Other Current Assets</t>
        </is>
      </c>
      <c r="C41" s="25" t="n">
        <v>0.017</v>
      </c>
      <c r="D41" s="25" t="n">
        <v>0</v>
      </c>
      <c r="E41" s="25" t="n">
        <v>0</v>
      </c>
      <c r="F41" s="25" t="n">
        <v>0.519</v>
      </c>
    </row>
    <row r="42">
      <c r="A42" s="3" t="inlineStr">
        <is>
          <t>Change In Payables And Accrued Expense</t>
        </is>
      </c>
      <c r="C42" s="25" t="n">
        <v>3.262</v>
      </c>
      <c r="D42" s="25" t="n">
        <v>-4.355</v>
      </c>
      <c r="E42" s="25" t="n">
        <v>10.36</v>
      </c>
      <c r="F42" s="25" t="n">
        <v>-2.993</v>
      </c>
    </row>
    <row r="43">
      <c r="A43" s="3" t="inlineStr">
        <is>
          <t>Change In Payable</t>
        </is>
      </c>
      <c r="B43" s="25" t="n">
        <v>0.669126</v>
      </c>
    </row>
    <row r="44">
      <c r="A44" s="3" t="inlineStr">
        <is>
          <t>Change In Account Payable</t>
        </is>
      </c>
      <c r="B44" s="25" t="n">
        <v>0.699617</v>
      </c>
    </row>
    <row r="45">
      <c r="A45" s="3" t="inlineStr">
        <is>
          <t>Change In Prepaid Assets</t>
        </is>
      </c>
      <c r="C45" s="25" t="n">
        <v>-1.398</v>
      </c>
      <c r="D45" s="25" t="n">
        <v>0.966</v>
      </c>
      <c r="E45" s="25" t="n">
        <v>-0.074</v>
      </c>
      <c r="F45" s="25" t="n">
        <v>0.232</v>
      </c>
    </row>
    <row r="46">
      <c r="A46" s="3" t="inlineStr">
        <is>
          <t>Change In Inventory</t>
        </is>
      </c>
      <c r="C46" s="25" t="n">
        <v>-37.206</v>
      </c>
      <c r="D46" s="25" t="n">
        <v>60.363</v>
      </c>
      <c r="E46" s="25" t="n">
        <v>-69.626</v>
      </c>
      <c r="F46" s="25" t="n">
        <v>-2.305</v>
      </c>
    </row>
    <row r="47">
      <c r="A47" s="3" t="inlineStr">
        <is>
          <t>Other Non Cash Items</t>
        </is>
      </c>
      <c r="B47" s="25" t="n">
        <v>1.09</v>
      </c>
      <c r="C47" s="25" t="n">
        <v>-17.817</v>
      </c>
      <c r="D47" s="25" t="n">
        <v>-0.428</v>
      </c>
    </row>
    <row r="48">
      <c r="A48" s="3" t="inlineStr">
        <is>
          <t>Stock Based Compensation</t>
        </is>
      </c>
      <c r="C48" s="25" t="n">
        <v>4.681</v>
      </c>
      <c r="D48" s="25" t="n">
        <v>5.523</v>
      </c>
      <c r="E48" s="25" t="n">
        <v>5.172</v>
      </c>
      <c r="F48" s="25" t="n">
        <v>6.015</v>
      </c>
    </row>
    <row r="49">
      <c r="A49" s="3" t="inlineStr">
        <is>
          <t>Unrealized Gain Loss On Investment Securities</t>
        </is>
      </c>
      <c r="C49" s="25" t="n">
        <v>1.351</v>
      </c>
      <c r="D49" s="25" t="n">
        <v>13.083</v>
      </c>
      <c r="E49" s="25" t="n">
        <v>-27.505</v>
      </c>
      <c r="F49" s="25" t="n">
        <v>18.051</v>
      </c>
    </row>
    <row r="50">
      <c r="A50" s="3" t="inlineStr">
        <is>
          <t>Asset Impairment Charge</t>
        </is>
      </c>
      <c r="C50" s="25" t="n">
        <v>0</v>
      </c>
      <c r="D50" s="25" t="n">
        <v>0.112</v>
      </c>
      <c r="E50" s="25" t="n">
        <v>0</v>
      </c>
      <c r="F50" s="25" t="n">
        <v>0</v>
      </c>
    </row>
    <row r="51">
      <c r="A51" s="3" t="inlineStr">
        <is>
          <t>Deferred Tax</t>
        </is>
      </c>
      <c r="C51" s="25" t="n">
        <v>-0.005</v>
      </c>
      <c r="D51" s="25" t="n">
        <v>0.87</v>
      </c>
      <c r="E51" s="25" t="n">
        <v>-5.034</v>
      </c>
      <c r="F51" s="25" t="n">
        <v>-2.779</v>
      </c>
    </row>
    <row r="52">
      <c r="A52" s="3" t="inlineStr">
        <is>
          <t>Deferred Income Tax</t>
        </is>
      </c>
      <c r="C52" s="25" t="n">
        <v>-0.005</v>
      </c>
      <c r="D52" s="25" t="n">
        <v>0.87</v>
      </c>
      <c r="E52" s="25" t="n">
        <v>-5.034</v>
      </c>
      <c r="F52" s="25" t="n">
        <v>-2.779</v>
      </c>
    </row>
    <row r="53">
      <c r="A53" s="3" t="inlineStr">
        <is>
          <t>Depreciation Amortization Depletion</t>
        </is>
      </c>
      <c r="C53" s="25" t="n">
        <v>1.379</v>
      </c>
      <c r="D53" s="25" t="n">
        <v>2.007</v>
      </c>
      <c r="E53" s="25" t="n">
        <v>2.183</v>
      </c>
      <c r="F53" s="25" t="n">
        <v>4.486</v>
      </c>
    </row>
    <row r="54">
      <c r="A54" s="3" t="inlineStr">
        <is>
          <t>Depreciation And Amortization</t>
        </is>
      </c>
      <c r="C54" s="25" t="n">
        <v>1.379</v>
      </c>
      <c r="D54" s="25" t="n">
        <v>2.007</v>
      </c>
      <c r="E54" s="25" t="n">
        <v>2.183</v>
      </c>
      <c r="F54" s="25" t="n">
        <v>4.486</v>
      </c>
    </row>
    <row r="55">
      <c r="A55" s="3" t="inlineStr">
        <is>
          <t>Depreciation</t>
        </is>
      </c>
      <c r="C55" s="25" t="n">
        <v>1.379</v>
      </c>
      <c r="D55" s="25" t="n">
        <v>2.007</v>
      </c>
      <c r="E55" s="25" t="n">
        <v>2.183</v>
      </c>
      <c r="F55" s="25" t="n">
        <v>4.486</v>
      </c>
    </row>
    <row r="56">
      <c r="A56" s="3" t="inlineStr">
        <is>
          <t>Operating Gains Losses</t>
        </is>
      </c>
      <c r="C56" s="25" t="n">
        <v>-12.333</v>
      </c>
      <c r="D56" s="25" t="n">
        <v>-2.319</v>
      </c>
      <c r="E56" s="25" t="n">
        <v>7.236</v>
      </c>
      <c r="F56" s="25" t="n">
        <v>1.744</v>
      </c>
    </row>
    <row r="57">
      <c r="A57" s="3" t="inlineStr">
        <is>
          <t>Earnings Losses From Equity Investments</t>
        </is>
      </c>
      <c r="C57" s="25" t="n">
        <v>-4.126</v>
      </c>
      <c r="D57" s="25" t="n">
        <v>0.994</v>
      </c>
      <c r="E57" s="25" t="n">
        <v>-1.017</v>
      </c>
      <c r="F57" s="25" t="n">
        <v>3.352</v>
      </c>
    </row>
    <row r="58">
      <c r="A58" s="3" t="inlineStr">
        <is>
          <t>Gain Loss On Investment Securities</t>
        </is>
      </c>
      <c r="D58" s="25" t="n">
        <v>-3.293</v>
      </c>
      <c r="E58" s="25" t="n">
        <v>8.226000000000001</v>
      </c>
      <c r="F58" s="25" t="n">
        <v>-1.706</v>
      </c>
    </row>
    <row r="59">
      <c r="A59" s="3" t="inlineStr">
        <is>
          <t>Net Income From Continuing Operations</t>
        </is>
      </c>
      <c r="C59" s="25" t="n">
        <v>5.252</v>
      </c>
      <c r="D59" s="25" t="n">
        <v>-3.307</v>
      </c>
      <c r="E59" s="25" t="n">
        <v>-29.221</v>
      </c>
      <c r="F59" s="25" t="n">
        <v>-87.65600000000001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2026-10-13T13:23:10Z</dcterms:created>
  <dcterms:modified xmlns:dcterms="http://purl.org/dc/terms/" xmlns:xsi="http://www.w3.org/2001/XMLSchema-instance" xsi:type="dcterms:W3CDTF">2026-10-13T13:23:10Z</dcterms:modified>
</cp:coreProperties>
</file>