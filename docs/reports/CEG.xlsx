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Constellation Energy Corporation (CEG)</t>
        </is>
      </c>
    </row>
    <row r="2">
      <c r="A2" s="2" t="inlineStr">
        <is>
          <t>Utilities · Standard (forward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278.3245544984664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CEG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282.7568220272482</v>
      </c>
      <c r="D5" s="6" t="n">
        <v>231.7571806850097</v>
      </c>
      <c r="E5" s="6" t="n">
        <v>340.6284356626006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208.9017763350946</v>
      </c>
      <c r="D6" s="6" t="n">
        <v>171.2994565947775</v>
      </c>
      <c r="E6" s="6" t="n">
        <v>246.5040960754116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233.7981950244186</v>
      </c>
      <c r="D7" s="6" t="n">
        <v>188.8479441202007</v>
      </c>
      <c r="E7" s="6" t="n">
        <v>278.7484459286364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0.08636605555468493</v>
      </c>
    </row>
    <row r="12">
      <c r="A12" s="3" t="inlineStr">
        <is>
          <t>Dividends per share (12m)</t>
        </is>
      </c>
      <c r="B12" s="6" t="n">
        <v>1.361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357.81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244.52</v>
      </c>
    </row>
    <row r="18">
      <c r="A18" s="3" t="inlineStr">
        <is>
          <t>Engine target (incl. plausibility band)</t>
        </is>
      </c>
      <c r="B18" s="6" t="n">
        <v>278.3245544984664</v>
      </c>
    </row>
    <row r="20">
      <c r="A20" s="8" t="inlineStr">
        <is>
          <t>Guardrails</t>
        </is>
      </c>
    </row>
    <row r="21">
      <c r="A21" s="2" t="inlineStr">
        <is>
          <t>Target anchored 15% to the Street consensus ($357.81); model-only target $264.30.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35620</v>
      </c>
      <c r="C5" s="19" t="n">
        <v>41489.81542106217</v>
      </c>
      <c r="D5" s="19" t="n">
        <v>46684.81047221891</v>
      </c>
      <c r="E5" s="19" t="n">
        <v>51205.70282363475</v>
      </c>
      <c r="F5" s="19" t="n">
        <v>55122.88947284904</v>
      </c>
      <c r="G5" s="19" t="n">
        <v>58535.99793296073</v>
      </c>
      <c r="H5" s="19" t="n">
        <v>61548.58653522813</v>
      </c>
      <c r="I5" s="19" t="n">
        <v>64255.02592469643</v>
      </c>
      <c r="J5" s="19" t="n">
        <v>66735.31941725372</v>
      </c>
      <c r="K5" s="19" t="n">
        <v>68403.70240268506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0.2052475596989307</v>
      </c>
      <c r="C7" s="11" t="n">
        <v>0.2012638513087025</v>
      </c>
      <c r="D7" s="11" t="n">
        <v>0.1972801429184742</v>
      </c>
      <c r="E7" s="11" t="n">
        <v>0.193296434528246</v>
      </c>
      <c r="F7" s="11" t="n">
        <v>0.1893127261380177</v>
      </c>
      <c r="G7" s="11" t="n">
        <v>0.1853290177477895</v>
      </c>
      <c r="H7" s="11" t="n">
        <v>0.1813453093575612</v>
      </c>
      <c r="I7" s="11" t="n">
        <v>0.1773616009673329</v>
      </c>
      <c r="J7" s="11" t="n">
        <v>0.1773616009673329</v>
      </c>
      <c r="K7" s="11" t="n">
        <v>0.1773616009673329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4849.44539086</v>
      </c>
      <c r="C9" s="19" t="n">
        <v>5590.764766857072</v>
      </c>
      <c r="D9" s="19" t="n">
        <v>6203.789146643189</v>
      </c>
      <c r="E9" s="19" t="n">
        <v>6694.369018542216</v>
      </c>
      <c r="F9" s="19" t="n">
        <v>7077.754170234815</v>
      </c>
      <c r="G9" s="19" t="n">
        <v>7372.257776958407</v>
      </c>
      <c r="H9" s="19" t="n">
        <v>7595.569202017806</v>
      </c>
      <c r="I9" s="19" t="n">
        <v>7763.038830619873</v>
      </c>
      <c r="J9" s="19" t="n">
        <v>8076.765231201512</v>
      </c>
      <c r="K9" s="19" t="n">
        <v>8287.795010694002</v>
      </c>
    </row>
    <row r="10">
      <c r="A10" s="3" t="inlineStr">
        <is>
          <t>EPS</t>
        </is>
      </c>
      <c r="B10" s="16">
        <f>B9*1000000/357102017.0</f>
        <v/>
      </c>
      <c r="C10" s="16">
        <f>C9*1000000/357102017.0</f>
        <v/>
      </c>
      <c r="D10" s="16">
        <f>D9*1000000/357102017.0</f>
        <v/>
      </c>
      <c r="E10" s="16">
        <f>E9*1000000/357102017.0</f>
        <v/>
      </c>
      <c r="F10" s="16">
        <f>F9*1000000/357102017.0</f>
        <v/>
      </c>
      <c r="G10" s="16">
        <f>G9*1000000/357102017.0</f>
        <v/>
      </c>
      <c r="H10" s="16">
        <f>H9*1000000/357102017.0</f>
        <v/>
      </c>
      <c r="I10" s="16">
        <f>I9*1000000/357102017.0</f>
        <v/>
      </c>
      <c r="J10" s="16">
        <f>J9*1000000/357102017.0</f>
        <v/>
      </c>
      <c r="K10" s="16">
        <f>K9*1000000/357102017.0</f>
        <v/>
      </c>
    </row>
    <row r="12">
      <c r="A12" s="13" t="inlineStr">
        <is>
          <t>Levered FCF (mn)</t>
        </is>
      </c>
      <c r="B12" s="20" t="n">
        <v>4115.400504666752</v>
      </c>
      <c r="C12" s="20" t="n">
        <v>4811.06573334487</v>
      </c>
      <c r="D12" s="20" t="n">
        <v>5392.656677636085</v>
      </c>
      <c r="E12" s="20" t="n">
        <v>5875.97646236353</v>
      </c>
      <c r="F12" s="20" t="n">
        <v>6272.366069495353</v>
      </c>
      <c r="G12" s="20" t="n">
        <v>6596.361548848513</v>
      </c>
      <c r="H12" s="20" t="n">
        <v>6862.441300134499</v>
      </c>
      <c r="I12" s="20" t="n">
        <v>7083.430048819514</v>
      </c>
      <c r="J12" s="20" t="n">
        <v>7459.544752551667</v>
      </c>
      <c r="K12" s="20" t="n">
        <v>7747.887269074251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244.52</v>
      </c>
    </row>
    <row r="6">
      <c r="A6" s="3" t="inlineStr">
        <is>
          <t>Diluted shares (mn)</t>
        </is>
      </c>
      <c r="B6" s="18" t="n">
        <v>357.102017</v>
      </c>
    </row>
    <row r="7">
      <c r="A7" s="3" t="inlineStr">
        <is>
          <t>Total debt (USDmm)</t>
        </is>
      </c>
      <c r="B7" s="18" t="n">
        <v>8992</v>
      </c>
    </row>
    <row r="8">
      <c r="A8" s="3" t="inlineStr">
        <is>
          <t>Cash &amp; ST investments (USDmm)</t>
        </is>
      </c>
      <c r="B8" s="18" t="n">
        <v>3641</v>
      </c>
    </row>
    <row r="9">
      <c r="A9" s="3" t="inlineStr">
        <is>
          <t>Minority interest (USDmm)</t>
        </is>
      </c>
      <c r="B9" s="18" t="n">
        <v>336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0.9399999999999999</v>
      </c>
    </row>
    <row r="18">
      <c r="A18" s="3" t="inlineStr">
        <is>
          <t>Pre-tax cost of debt</t>
        </is>
      </c>
      <c r="B18" s="15" t="n">
        <v>0.051</v>
      </c>
    </row>
    <row r="19">
      <c r="A19" s="3" t="inlineStr">
        <is>
          <t>Tax rate</t>
        </is>
      </c>
      <c r="B19" s="11" t="n">
        <v>0.286837674171915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0.3950573767281558</v>
      </c>
      <c r="C26" s="11" t="n">
        <v>0.1647898770651929</v>
      </c>
      <c r="D26" s="11" t="n">
        <v>0.125211331948214</v>
      </c>
      <c r="E26" s="11" t="n">
        <v>0.09683861422348755</v>
      </c>
      <c r="F26" s="11" t="n">
        <v>0.07649903102992379</v>
      </c>
      <c r="G26" s="11" t="n">
        <v>0.06191817034179282</v>
      </c>
      <c r="H26" s="11" t="n">
        <v>0.05146557176180035</v>
      </c>
      <c r="I26" s="11" t="n">
        <v>0.04397240524636979</v>
      </c>
      <c r="J26" s="11" t="n">
        <v>0.03860077024113361</v>
      </c>
      <c r="K26" s="11" t="n">
        <v>0.025</v>
      </c>
    </row>
    <row r="27">
      <c r="A27" s="3" t="inlineStr">
        <is>
          <t>EBIT margin</t>
        </is>
      </c>
      <c r="B27" s="11" t="n">
        <v>0.2052475596989307</v>
      </c>
      <c r="C27" s="11" t="n">
        <v>0.2012638513087025</v>
      </c>
      <c r="D27" s="11" t="n">
        <v>0.1972801429184742</v>
      </c>
      <c r="E27" s="11" t="n">
        <v>0.193296434528246</v>
      </c>
      <c r="F27" s="11" t="n">
        <v>0.1893127261380177</v>
      </c>
      <c r="G27" s="11" t="n">
        <v>0.1853290177477895</v>
      </c>
      <c r="H27" s="11" t="n">
        <v>0.1813453093575612</v>
      </c>
      <c r="I27" s="11" t="n">
        <v>0.1773616009673329</v>
      </c>
      <c r="J27" s="11" t="n">
        <v>0.1773616009673329</v>
      </c>
      <c r="K27" s="11" t="n">
        <v>0.1773616009673329</v>
      </c>
    </row>
    <row r="28">
      <c r="A28" s="3" t="inlineStr">
        <is>
          <t>D&amp;A % of revenue</t>
        </is>
      </c>
      <c r="B28" s="11" t="n">
        <v>0.07806074434667941</v>
      </c>
      <c r="C28" s="11" t="n">
        <v>0.07806074434667941</v>
      </c>
      <c r="D28" s="11" t="n">
        <v>0.07806074434667941</v>
      </c>
      <c r="E28" s="11" t="n">
        <v>0.07806074434667941</v>
      </c>
      <c r="F28" s="11" t="n">
        <v>0.07806074434667941</v>
      </c>
      <c r="G28" s="11" t="n">
        <v>0.07806074434667941</v>
      </c>
      <c r="H28" s="11" t="n">
        <v>0.07806074434667941</v>
      </c>
      <c r="I28" s="11" t="n">
        <v>0.07806074434667941</v>
      </c>
      <c r="J28" s="11" t="n">
        <v>0.07806074434667941</v>
      </c>
      <c r="K28" s="11" t="n">
        <v>0.07806074434667941</v>
      </c>
    </row>
    <row r="29">
      <c r="A29" s="3" t="inlineStr">
        <is>
          <t>Capex % of revenue</t>
        </is>
      </c>
      <c r="B29" s="11" t="n">
        <v>0.09765960882899036</v>
      </c>
      <c r="C29" s="11" t="n">
        <v>0.09634929882369669</v>
      </c>
      <c r="D29" s="11" t="n">
        <v>0.09503898881840303</v>
      </c>
      <c r="E29" s="11" t="n">
        <v>0.09372867881310935</v>
      </c>
      <c r="F29" s="11" t="n">
        <v>0.09241836880781569</v>
      </c>
      <c r="G29" s="11" t="n">
        <v>0.09110805880252203</v>
      </c>
      <c r="H29" s="11" t="n">
        <v>0.08979774879722836</v>
      </c>
      <c r="I29" s="11" t="n">
        <v>0.08848743879193469</v>
      </c>
      <c r="J29" s="11" t="n">
        <v>0.08717712878664102</v>
      </c>
      <c r="K29" s="11" t="n">
        <v>0.08586681878134736</v>
      </c>
    </row>
    <row r="30">
      <c r="A30" s="3" t="inlineStr">
        <is>
          <t>ΔNWC % of Δrevenue</t>
        </is>
      </c>
      <c r="B30" s="11" t="n">
        <v>0.00356234096692112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24440</v>
      </c>
      <c r="C5" s="25" t="n">
        <v>24918</v>
      </c>
      <c r="D5" s="25" t="n">
        <v>23568</v>
      </c>
      <c r="E5" s="25" t="n">
        <v>25533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-408</v>
      </c>
      <c r="C7" s="25" t="n">
        <v>2386</v>
      </c>
      <c r="D7" s="25" t="n">
        <v>4848</v>
      </c>
      <c r="E7" s="25" t="n">
        <v>4198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1849</v>
      </c>
      <c r="C9" s="25" t="n">
        <v>1883</v>
      </c>
      <c r="D9" s="25" t="n">
        <v>2007</v>
      </c>
      <c r="E9" s="25" t="n">
        <v>1937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1689</v>
      </c>
      <c r="C12" s="25" t="n">
        <v>2422</v>
      </c>
      <c r="D12" s="25" t="n">
        <v>2565</v>
      </c>
      <c r="E12" s="25" t="n">
        <v>2949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5246</v>
      </c>
      <c r="C13" s="25" t="n">
        <v>8355</v>
      </c>
      <c r="D13" s="25" t="n">
        <v>9168</v>
      </c>
      <c r="E13" s="25" t="n">
        <v>7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19868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0.06669831282108223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0.07419831282108222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0.08169831282108223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0.08919831282108223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0.09669831282108222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-2.52</v>
      </c>
      <c r="D5" s="25" t="n">
        <v>117.234</v>
      </c>
      <c r="E5" s="25" t="n">
        <v>14.022</v>
      </c>
      <c r="F5" s="25" t="n">
        <v>-102.752</v>
      </c>
    </row>
    <row r="6">
      <c r="A6" s="3" t="inlineStr">
        <is>
          <t>Tax Rate For Calcs</t>
        </is>
      </c>
      <c r="C6" s="25" t="n">
        <v>2.1e-13</v>
      </c>
      <c r="D6" s="25" t="n">
        <v>3.51e-13</v>
      </c>
      <c r="E6" s="25" t="n">
        <v>1.71e-13</v>
      </c>
      <c r="F6" s="25" t="n">
        <v>3.38e-13</v>
      </c>
    </row>
    <row r="7">
      <c r="A7" s="3" t="inlineStr">
        <is>
          <t>Normalized EBITDA</t>
        </is>
      </c>
      <c r="C7" s="25" t="n">
        <v>1570</v>
      </c>
      <c r="D7" s="25" t="n">
        <v>4427</v>
      </c>
      <c r="E7" s="25" t="n">
        <v>6947</v>
      </c>
      <c r="F7" s="25" t="n">
        <v>6263</v>
      </c>
    </row>
    <row r="8">
      <c r="A8" s="3" t="inlineStr">
        <is>
          <t>Total Unusual Items</t>
        </is>
      </c>
      <c r="C8" s="25" t="n">
        <v>-12</v>
      </c>
      <c r="D8" s="25" t="n">
        <v>334</v>
      </c>
      <c r="E8" s="25" t="n">
        <v>82</v>
      </c>
      <c r="F8" s="25" t="n">
        <v>-304</v>
      </c>
    </row>
    <row r="9">
      <c r="A9" s="3" t="inlineStr">
        <is>
          <t>Total Unusual Items Excluding Goodwill</t>
        </is>
      </c>
      <c r="C9" s="25" t="n">
        <v>-12</v>
      </c>
      <c r="D9" s="25" t="n">
        <v>334</v>
      </c>
      <c r="E9" s="25" t="n">
        <v>82</v>
      </c>
      <c r="F9" s="25" t="n">
        <v>-304</v>
      </c>
    </row>
    <row r="10">
      <c r="A10" s="3" t="inlineStr">
        <is>
          <t>Net Income From Continuing Operation Net Minority Interest</t>
        </is>
      </c>
      <c r="C10" s="25" t="n">
        <v>-160</v>
      </c>
      <c r="D10" s="25" t="n">
        <v>1623</v>
      </c>
      <c r="E10" s="25" t="n">
        <v>3749</v>
      </c>
      <c r="F10" s="25" t="n">
        <v>2319</v>
      </c>
    </row>
    <row r="11">
      <c r="A11" s="3" t="inlineStr">
        <is>
          <t>Reconciled Depreciation</t>
        </is>
      </c>
      <c r="C11" s="25" t="n">
        <v>1849</v>
      </c>
      <c r="D11" s="25" t="n">
        <v>1883</v>
      </c>
      <c r="E11" s="25" t="n">
        <v>2007</v>
      </c>
      <c r="F11" s="25" t="n">
        <v>1937</v>
      </c>
    </row>
    <row r="12">
      <c r="A12" s="3" t="inlineStr">
        <is>
          <t>Reconciled Cost Of Revenue</t>
        </is>
      </c>
      <c r="C12" s="25" t="n">
        <v>21545</v>
      </c>
      <c r="D12" s="25" t="n">
        <v>20899</v>
      </c>
      <c r="E12" s="25" t="n">
        <v>16694</v>
      </c>
      <c r="F12" s="25" t="n">
        <v>19888</v>
      </c>
    </row>
    <row r="13">
      <c r="A13" s="3" t="inlineStr">
        <is>
          <t>EBITDA</t>
        </is>
      </c>
      <c r="C13" s="25" t="n">
        <v>1558</v>
      </c>
      <c r="D13" s="25" t="n">
        <v>4761</v>
      </c>
      <c r="E13" s="25" t="n">
        <v>7029</v>
      </c>
      <c r="F13" s="25" t="n">
        <v>5959</v>
      </c>
    </row>
    <row r="14">
      <c r="A14" s="3" t="inlineStr">
        <is>
          <t>EBIT</t>
        </is>
      </c>
      <c r="C14" s="25" t="n">
        <v>-291</v>
      </c>
      <c r="D14" s="25" t="n">
        <v>2878</v>
      </c>
      <c r="E14" s="25" t="n">
        <v>5022</v>
      </c>
      <c r="F14" s="25" t="n">
        <v>4022</v>
      </c>
    </row>
    <row r="15">
      <c r="A15" s="3" t="inlineStr">
        <is>
          <t>Net Interest Income</t>
        </is>
      </c>
      <c r="C15" s="25" t="n">
        <v>-251</v>
      </c>
      <c r="D15" s="25" t="n">
        <v>-431</v>
      </c>
      <c r="E15" s="25" t="n">
        <v>-506</v>
      </c>
      <c r="F15" s="25" t="n">
        <v>-511</v>
      </c>
    </row>
    <row r="16">
      <c r="A16" s="3" t="inlineStr">
        <is>
          <t>Interest Expense</t>
        </is>
      </c>
      <c r="C16" s="25" t="n">
        <v>251</v>
      </c>
      <c r="D16" s="25" t="n">
        <v>431</v>
      </c>
      <c r="E16" s="25" t="n">
        <v>506</v>
      </c>
      <c r="F16" s="25" t="n">
        <v>511</v>
      </c>
    </row>
    <row r="17">
      <c r="A17" s="3" t="inlineStr">
        <is>
          <t>Interest Income</t>
        </is>
      </c>
      <c r="B17" s="25" t="n">
        <v>98</v>
      </c>
      <c r="C17" s="25" t="n">
        <v>93</v>
      </c>
    </row>
    <row r="18">
      <c r="A18" s="3" t="inlineStr">
        <is>
          <t>Normalized Income</t>
        </is>
      </c>
      <c r="C18" s="25" t="n">
        <v>-150.52</v>
      </c>
      <c r="D18" s="25" t="n">
        <v>1406.234</v>
      </c>
      <c r="E18" s="25" t="n">
        <v>3681.022</v>
      </c>
      <c r="F18" s="25" t="n">
        <v>2520.248</v>
      </c>
    </row>
    <row r="19">
      <c r="A19" s="3" t="inlineStr">
        <is>
          <t>Net Income From Continuing And Discontinued Operation</t>
        </is>
      </c>
      <c r="C19" s="25" t="n">
        <v>-160</v>
      </c>
      <c r="D19" s="25" t="n">
        <v>1623</v>
      </c>
      <c r="E19" s="25" t="n">
        <v>3749</v>
      </c>
      <c r="F19" s="25" t="n">
        <v>2319</v>
      </c>
    </row>
    <row r="20">
      <c r="A20" s="3" t="inlineStr">
        <is>
          <t>Total Expenses</t>
        </is>
      </c>
      <c r="C20" s="25" t="n">
        <v>24848</v>
      </c>
      <c r="D20" s="25" t="n">
        <v>22532</v>
      </c>
      <c r="E20" s="25" t="n">
        <v>18720</v>
      </c>
      <c r="F20" s="25" t="n">
        <v>21335</v>
      </c>
    </row>
    <row r="21">
      <c r="A21" s="3" t="inlineStr">
        <is>
          <t>Total Operating Income As Reported</t>
        </is>
      </c>
      <c r="C21" s="25" t="n">
        <v>495</v>
      </c>
      <c r="D21" s="25" t="n">
        <v>1610</v>
      </c>
      <c r="E21" s="25" t="n">
        <v>4352</v>
      </c>
      <c r="F21" s="25" t="n">
        <v>3086</v>
      </c>
    </row>
    <row r="22">
      <c r="A22" s="3" t="inlineStr">
        <is>
          <t>Diluted Average Shares</t>
        </is>
      </c>
      <c r="C22" s="25" t="n">
        <v>327</v>
      </c>
      <c r="D22" s="25" t="n">
        <v>324</v>
      </c>
      <c r="E22" s="25" t="n">
        <v>315</v>
      </c>
      <c r="F22" s="25" t="n">
        <v>314</v>
      </c>
    </row>
    <row r="23">
      <c r="A23" s="3" t="inlineStr">
        <is>
          <t>Basic Average Shares</t>
        </is>
      </c>
      <c r="C23" s="25" t="n">
        <v>327</v>
      </c>
      <c r="D23" s="25" t="n">
        <v>323</v>
      </c>
      <c r="E23" s="25" t="n">
        <v>315</v>
      </c>
      <c r="F23" s="25" t="n">
        <v>313</v>
      </c>
    </row>
    <row r="24">
      <c r="A24" s="3" t="inlineStr">
        <is>
          <t>Diluted EPS</t>
        </is>
      </c>
      <c r="C24" s="25" t="n">
        <v>-4.892969999999999e-13</v>
      </c>
      <c r="D24" s="25" t="n">
        <v>5.009999999999998e-12</v>
      </c>
      <c r="E24" s="25" t="n">
        <v>1.189e-11</v>
      </c>
      <c r="F24" s="25" t="n">
        <v>7.4e-12</v>
      </c>
    </row>
    <row r="25">
      <c r="A25" s="3" t="inlineStr">
        <is>
          <t>Basic EPS</t>
        </is>
      </c>
      <c r="C25" s="25" t="n">
        <v>-4.892969999999999e-13</v>
      </c>
      <c r="D25" s="25" t="n">
        <v>5.019999999999999e-12</v>
      </c>
      <c r="E25" s="25" t="n">
        <v>1.191e-11</v>
      </c>
      <c r="F25" s="25" t="n">
        <v>7.4e-12</v>
      </c>
    </row>
    <row r="26">
      <c r="A26" s="3" t="inlineStr">
        <is>
          <t>Diluted NI Availto Com Stockholders</t>
        </is>
      </c>
      <c r="C26" s="25" t="n">
        <v>-160</v>
      </c>
      <c r="D26" s="25" t="n">
        <v>1623</v>
      </c>
      <c r="E26" s="25" t="n">
        <v>3749</v>
      </c>
      <c r="F26" s="25" t="n">
        <v>2319</v>
      </c>
    </row>
    <row r="27">
      <c r="A27" s="3" t="inlineStr">
        <is>
          <t>Net Income Common Stockholders</t>
        </is>
      </c>
      <c r="C27" s="25" t="n">
        <v>-160</v>
      </c>
      <c r="D27" s="25" t="n">
        <v>1623</v>
      </c>
      <c r="E27" s="25" t="n">
        <v>3749</v>
      </c>
      <c r="F27" s="25" t="n">
        <v>2319</v>
      </c>
    </row>
    <row r="28">
      <c r="A28" s="3" t="inlineStr">
        <is>
          <t>Net Income</t>
        </is>
      </c>
      <c r="C28" s="25" t="n">
        <v>-160</v>
      </c>
      <c r="D28" s="25" t="n">
        <v>1623</v>
      </c>
      <c r="E28" s="25" t="n">
        <v>3749</v>
      </c>
      <c r="F28" s="25" t="n">
        <v>2319</v>
      </c>
    </row>
    <row r="29">
      <c r="A29" s="3" t="inlineStr">
        <is>
          <t>Minority Interests</t>
        </is>
      </c>
      <c r="C29" s="25" t="n">
        <v>7</v>
      </c>
      <c r="D29" s="25" t="n">
        <v>46</v>
      </c>
      <c r="E29" s="25" t="n">
        <v>11</v>
      </c>
      <c r="F29" s="25" t="n">
        <v>-4</v>
      </c>
    </row>
    <row r="30">
      <c r="A30" s="3" t="inlineStr">
        <is>
          <t>Net Income Including Noncontrolling Interests</t>
        </is>
      </c>
      <c r="C30" s="25" t="n">
        <v>-167</v>
      </c>
      <c r="D30" s="25" t="n">
        <v>1577</v>
      </c>
      <c r="E30" s="25" t="n">
        <v>3738</v>
      </c>
      <c r="F30" s="25" t="n">
        <v>2323</v>
      </c>
    </row>
    <row r="31">
      <c r="A31" s="3" t="inlineStr">
        <is>
          <t>Net Income Continuous Operations</t>
        </is>
      </c>
      <c r="C31" s="25" t="n">
        <v>-167</v>
      </c>
      <c r="D31" s="25" t="n">
        <v>1577</v>
      </c>
      <c r="E31" s="25" t="n">
        <v>3738</v>
      </c>
      <c r="F31" s="25" t="n">
        <v>2323</v>
      </c>
    </row>
    <row r="32">
      <c r="A32" s="3" t="inlineStr">
        <is>
          <t>Earnings From Equity Interest Net Of Tax</t>
        </is>
      </c>
      <c r="C32" s="25" t="n">
        <v>-13</v>
      </c>
      <c r="D32" s="25" t="n">
        <v>-11</v>
      </c>
      <c r="E32" s="25" t="n">
        <v>-4</v>
      </c>
      <c r="F32" s="25" t="n">
        <v>-1</v>
      </c>
    </row>
    <row r="33">
      <c r="A33" s="3" t="inlineStr">
        <is>
          <t>Tax Provision</t>
        </is>
      </c>
      <c r="C33" s="25" t="n">
        <v>-388</v>
      </c>
      <c r="D33" s="25" t="n">
        <v>859</v>
      </c>
      <c r="E33" s="25" t="n">
        <v>774</v>
      </c>
      <c r="F33" s="25" t="n">
        <v>1187</v>
      </c>
    </row>
    <row r="34">
      <c r="A34" s="3" t="inlineStr">
        <is>
          <t>Pretax Income</t>
        </is>
      </c>
      <c r="C34" s="25" t="n">
        <v>-542</v>
      </c>
      <c r="D34" s="25" t="n">
        <v>2447</v>
      </c>
      <c r="E34" s="25" t="n">
        <v>4516</v>
      </c>
      <c r="F34" s="25" t="n">
        <v>3511</v>
      </c>
    </row>
    <row r="35">
      <c r="A35" s="3" t="inlineStr">
        <is>
          <t>Other Income Expense</t>
        </is>
      </c>
      <c r="C35" s="25" t="n">
        <v>117</v>
      </c>
      <c r="D35" s="25" t="n">
        <v>492</v>
      </c>
      <c r="E35" s="25" t="n">
        <v>174</v>
      </c>
      <c r="F35" s="25" t="n">
        <v>-176</v>
      </c>
    </row>
    <row r="36">
      <c r="A36" s="3" t="inlineStr">
        <is>
          <t>Other Non Operating Income Expenses</t>
        </is>
      </c>
      <c r="C36" s="25" t="n">
        <v>129</v>
      </c>
      <c r="D36" s="25" t="n">
        <v>158</v>
      </c>
      <c r="E36" s="25" t="n">
        <v>92</v>
      </c>
      <c r="F36" s="25" t="n">
        <v>128</v>
      </c>
    </row>
    <row r="37">
      <c r="A37" s="3" t="inlineStr">
        <is>
          <t>Special Income Charges</t>
        </is>
      </c>
      <c r="C37" s="25" t="n">
        <v>1</v>
      </c>
      <c r="D37" s="25" t="n">
        <v>27</v>
      </c>
      <c r="E37" s="25" t="n">
        <v>71</v>
      </c>
      <c r="F37" s="25" t="n">
        <v>0</v>
      </c>
    </row>
    <row r="38">
      <c r="A38" s="3" t="inlineStr">
        <is>
          <t>Gain On Sale Of Ppe</t>
        </is>
      </c>
      <c r="C38" s="25" t="n">
        <v>1</v>
      </c>
      <c r="D38" s="25" t="n">
        <v>27</v>
      </c>
      <c r="E38" s="25" t="n">
        <v>71</v>
      </c>
      <c r="F38" s="25" t="n">
        <v>0</v>
      </c>
    </row>
    <row r="39">
      <c r="A39" s="3" t="inlineStr">
        <is>
          <t>Gain On Sale Of Security</t>
        </is>
      </c>
      <c r="C39" s="25" t="n">
        <v>-13</v>
      </c>
      <c r="D39" s="25" t="n">
        <v>307</v>
      </c>
      <c r="E39" s="25" t="n">
        <v>11</v>
      </c>
      <c r="F39" s="25" t="n">
        <v>-304</v>
      </c>
    </row>
    <row r="40">
      <c r="A40" s="3" t="inlineStr">
        <is>
          <t>Net Non Operating Interest Income Expense</t>
        </is>
      </c>
      <c r="C40" s="25" t="n">
        <v>-251</v>
      </c>
      <c r="D40" s="25" t="n">
        <v>-431</v>
      </c>
      <c r="E40" s="25" t="n">
        <v>-506</v>
      </c>
      <c r="F40" s="25" t="n">
        <v>-511</v>
      </c>
    </row>
    <row r="41">
      <c r="A41" s="3" t="inlineStr">
        <is>
          <t>Interest Expense Non Operating</t>
        </is>
      </c>
      <c r="C41" s="25" t="n">
        <v>251</v>
      </c>
      <c r="D41" s="25" t="n">
        <v>431</v>
      </c>
      <c r="E41" s="25" t="n">
        <v>506</v>
      </c>
      <c r="F41" s="25" t="n">
        <v>511</v>
      </c>
    </row>
    <row r="42">
      <c r="A42" s="3" t="inlineStr">
        <is>
          <t>Interest Income Non Operating</t>
        </is>
      </c>
      <c r="B42" s="25" t="n">
        <v>98</v>
      </c>
      <c r="C42" s="25" t="n">
        <v>93</v>
      </c>
    </row>
    <row r="43">
      <c r="A43" s="3" t="inlineStr">
        <is>
          <t>Operating Income</t>
        </is>
      </c>
      <c r="C43" s="25" t="n">
        <v>-408</v>
      </c>
      <c r="D43" s="25" t="n">
        <v>2386</v>
      </c>
      <c r="E43" s="25" t="n">
        <v>4848</v>
      </c>
      <c r="F43" s="25" t="n">
        <v>4198</v>
      </c>
    </row>
    <row r="44">
      <c r="A44" s="3" t="inlineStr">
        <is>
          <t>Operating Expense</t>
        </is>
      </c>
      <c r="C44" s="25" t="n">
        <v>2545</v>
      </c>
      <c r="D44" s="25" t="n">
        <v>846</v>
      </c>
      <c r="E44" s="25" t="n">
        <v>1142</v>
      </c>
      <c r="F44" s="25" t="n">
        <v>495</v>
      </c>
    </row>
    <row r="45">
      <c r="A45" s="3" t="inlineStr">
        <is>
          <t>Other Operating Expenses</t>
        </is>
      </c>
      <c r="C45" s="25" t="n">
        <v>902</v>
      </c>
      <c r="D45" s="25" t="n">
        <v>-803</v>
      </c>
      <c r="E45" s="25" t="n">
        <v>-567</v>
      </c>
      <c r="F45" s="25" t="n">
        <v>-1112</v>
      </c>
    </row>
    <row r="46">
      <c r="A46" s="3" t="inlineStr">
        <is>
          <t>Other Taxes</t>
        </is>
      </c>
      <c r="C46" s="25" t="n">
        <v>552</v>
      </c>
      <c r="D46" s="25" t="n">
        <v>553</v>
      </c>
      <c r="E46" s="25" t="n">
        <v>586</v>
      </c>
      <c r="F46" s="25" t="n">
        <v>622</v>
      </c>
    </row>
    <row r="47">
      <c r="A47" s="3" t="inlineStr">
        <is>
          <t>Depreciation Amortization Depletion Income Statement</t>
        </is>
      </c>
      <c r="C47" s="25" t="n">
        <v>1091</v>
      </c>
      <c r="D47" s="25" t="n">
        <v>1096</v>
      </c>
      <c r="E47" s="25" t="n">
        <v>1123</v>
      </c>
      <c r="F47" s="25" t="n">
        <v>985</v>
      </c>
    </row>
    <row r="48">
      <c r="A48" s="3" t="inlineStr">
        <is>
          <t>Depreciation And Amortization In Income Statement</t>
        </is>
      </c>
      <c r="C48" s="25" t="n">
        <v>1091</v>
      </c>
      <c r="D48" s="25" t="n">
        <v>1096</v>
      </c>
      <c r="E48" s="25" t="n">
        <v>1123</v>
      </c>
      <c r="F48" s="25" t="n">
        <v>985</v>
      </c>
    </row>
    <row r="49">
      <c r="A49" s="3" t="inlineStr">
        <is>
          <t>Selling General And Administration</t>
        </is>
      </c>
      <c r="B49" s="25" t="n">
        <v>0</v>
      </c>
      <c r="C49" s="25" t="n">
        <v>-110</v>
      </c>
      <c r="D49" s="25" t="n">
        <v>-54</v>
      </c>
    </row>
    <row r="50">
      <c r="A50" s="3" t="inlineStr">
        <is>
          <t>General And Administrative Expense</t>
        </is>
      </c>
      <c r="C50" s="25" t="n">
        <v>-110</v>
      </c>
      <c r="D50" s="25" t="n">
        <v>-54</v>
      </c>
    </row>
    <row r="51">
      <c r="A51" s="3" t="inlineStr">
        <is>
          <t>Salaries And Wages</t>
        </is>
      </c>
      <c r="B51" s="25" t="n">
        <v>0</v>
      </c>
      <c r="C51" s="25" t="n">
        <v>-110</v>
      </c>
      <c r="D51" s="25" t="n">
        <v>-54</v>
      </c>
    </row>
    <row r="52">
      <c r="A52" s="3" t="inlineStr">
        <is>
          <t>Gross Profit</t>
        </is>
      </c>
      <c r="C52" s="25" t="n">
        <v>2137</v>
      </c>
      <c r="D52" s="25" t="n">
        <v>3232</v>
      </c>
      <c r="E52" s="25" t="n">
        <v>5990</v>
      </c>
      <c r="F52" s="25" t="n">
        <v>4693</v>
      </c>
    </row>
    <row r="53">
      <c r="A53" s="3" t="inlineStr">
        <is>
          <t>Cost Of Revenue</t>
        </is>
      </c>
      <c r="C53" s="25" t="n">
        <v>22303</v>
      </c>
      <c r="D53" s="25" t="n">
        <v>21686</v>
      </c>
      <c r="E53" s="25" t="n">
        <v>17578</v>
      </c>
      <c r="F53" s="25" t="n">
        <v>20840</v>
      </c>
    </row>
    <row r="54">
      <c r="A54" s="3" t="inlineStr">
        <is>
          <t>Total Revenue</t>
        </is>
      </c>
      <c r="C54" s="25" t="n">
        <v>24440</v>
      </c>
      <c r="D54" s="25" t="n">
        <v>24918</v>
      </c>
      <c r="E54" s="25" t="n">
        <v>23568</v>
      </c>
      <c r="F54" s="25" t="n">
        <v>25533</v>
      </c>
    </row>
    <row r="55">
      <c r="A55" s="3" t="inlineStr">
        <is>
          <t>Operating Revenue</t>
        </is>
      </c>
      <c r="C55" s="25" t="n">
        <v>24440</v>
      </c>
      <c r="D55" s="25" t="n">
        <v>24918</v>
      </c>
      <c r="E55" s="25" t="n">
        <v>23568</v>
      </c>
      <c r="F55" s="25" t="n">
        <v>25533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Ordinary Shares Number</t>
        </is>
      </c>
      <c r="C5" s="25" t="n">
        <v>327</v>
      </c>
      <c r="D5" s="25" t="n">
        <v>317</v>
      </c>
      <c r="E5" s="25" t="n">
        <v>312.838</v>
      </c>
      <c r="F5" s="25" t="n">
        <v>312.29008</v>
      </c>
    </row>
    <row r="6">
      <c r="A6" s="3" t="inlineStr">
        <is>
          <t>Share Issued</t>
        </is>
      </c>
      <c r="C6" s="25" t="n">
        <v>327</v>
      </c>
      <c r="D6" s="25" t="n">
        <v>317</v>
      </c>
      <c r="E6" s="25" t="n">
        <v>312.838</v>
      </c>
      <c r="F6" s="25" t="n">
        <v>312.29008</v>
      </c>
    </row>
    <row r="7">
      <c r="A7" s="3" t="inlineStr">
        <is>
          <t>Net Debt</t>
        </is>
      </c>
      <c r="C7" s="25" t="n">
        <v>5346</v>
      </c>
      <c r="D7" s="25" t="n">
        <v>8893</v>
      </c>
      <c r="E7" s="25" t="n">
        <v>5390</v>
      </c>
      <c r="F7" s="25" t="n">
        <v>5351</v>
      </c>
    </row>
    <row r="8">
      <c r="A8" s="3" t="inlineStr">
        <is>
          <t>Total Debt</t>
        </is>
      </c>
      <c r="C8" s="25" t="n">
        <v>5768</v>
      </c>
      <c r="D8" s="25" t="n">
        <v>9261</v>
      </c>
      <c r="E8" s="25" t="n">
        <v>8412</v>
      </c>
      <c r="F8" s="25" t="n">
        <v>8992</v>
      </c>
    </row>
    <row r="9">
      <c r="A9" s="3" t="inlineStr">
        <is>
          <t>Tangible Book Value</t>
        </is>
      </c>
      <c r="C9" s="25" t="n">
        <v>10971</v>
      </c>
      <c r="D9" s="25" t="n">
        <v>10500</v>
      </c>
      <c r="E9" s="25" t="n">
        <v>12746</v>
      </c>
      <c r="F9" s="25" t="n">
        <v>14097</v>
      </c>
    </row>
    <row r="10">
      <c r="A10" s="3" t="inlineStr">
        <is>
          <t>Invested Capital</t>
        </is>
      </c>
      <c r="C10" s="25" t="n">
        <v>16786</v>
      </c>
      <c r="D10" s="25" t="n">
        <v>20186</v>
      </c>
      <c r="E10" s="25" t="n">
        <v>21578</v>
      </c>
      <c r="F10" s="25" t="n">
        <v>23509</v>
      </c>
    </row>
    <row r="11">
      <c r="A11" s="3" t="inlineStr">
        <is>
          <t>Working Capital</t>
        </is>
      </c>
      <c r="C11" s="25" t="n">
        <v>1521</v>
      </c>
      <c r="D11" s="25" t="n">
        <v>1980</v>
      </c>
      <c r="E11" s="25" t="n">
        <v>3930</v>
      </c>
      <c r="F11" s="25" t="n">
        <v>4175</v>
      </c>
    </row>
    <row r="12">
      <c r="A12" s="3" t="inlineStr">
        <is>
          <t>Net Tangible Assets</t>
        </is>
      </c>
      <c r="C12" s="25" t="n">
        <v>10971</v>
      </c>
      <c r="D12" s="25" t="n">
        <v>10500</v>
      </c>
      <c r="E12" s="25" t="n">
        <v>12746</v>
      </c>
      <c r="F12" s="25" t="n">
        <v>14097</v>
      </c>
    </row>
    <row r="13">
      <c r="A13" s="3" t="inlineStr">
        <is>
          <t>Common Stock Equity</t>
        </is>
      </c>
      <c r="C13" s="25" t="n">
        <v>11018</v>
      </c>
      <c r="D13" s="25" t="n">
        <v>10925</v>
      </c>
      <c r="E13" s="25" t="n">
        <v>13166</v>
      </c>
      <c r="F13" s="25" t="n">
        <v>14517</v>
      </c>
    </row>
    <row r="14">
      <c r="A14" s="3" t="inlineStr">
        <is>
          <t>Total Capitalization</t>
        </is>
      </c>
      <c r="C14" s="25" t="n">
        <v>15484</v>
      </c>
      <c r="D14" s="25" t="n">
        <v>18421</v>
      </c>
      <c r="E14" s="25" t="n">
        <v>20550</v>
      </c>
      <c r="F14" s="25" t="n">
        <v>21767</v>
      </c>
    </row>
    <row r="15">
      <c r="A15" s="3" t="inlineStr">
        <is>
          <t>Total Equity Gross Minority Interest</t>
        </is>
      </c>
      <c r="C15" s="25" t="n">
        <v>11372</v>
      </c>
      <c r="D15" s="25" t="n">
        <v>11286</v>
      </c>
      <c r="E15" s="25" t="n">
        <v>13539</v>
      </c>
      <c r="F15" s="25" t="n">
        <v>14853</v>
      </c>
    </row>
    <row r="16">
      <c r="A16" s="3" t="inlineStr">
        <is>
          <t>Minority Interest</t>
        </is>
      </c>
      <c r="C16" s="25" t="n">
        <v>354</v>
      </c>
      <c r="D16" s="25" t="n">
        <v>361</v>
      </c>
      <c r="E16" s="25" t="n">
        <v>373</v>
      </c>
      <c r="F16" s="25" t="n">
        <v>336</v>
      </c>
    </row>
    <row r="17">
      <c r="A17" s="3" t="inlineStr">
        <is>
          <t>Stockholders Equity</t>
        </is>
      </c>
      <c r="C17" s="25" t="n">
        <v>11018</v>
      </c>
      <c r="D17" s="25" t="n">
        <v>10925</v>
      </c>
      <c r="E17" s="25" t="n">
        <v>13166</v>
      </c>
      <c r="F17" s="25" t="n">
        <v>14517</v>
      </c>
    </row>
    <row r="18">
      <c r="A18" s="3" t="inlineStr">
        <is>
          <t>Other Equity Interest</t>
        </is>
      </c>
      <c r="B18" s="25" t="n">
        <v>11250</v>
      </c>
    </row>
    <row r="19">
      <c r="A19" s="3" t="inlineStr">
        <is>
          <t>Gains Losses Not Affecting Retained Earnings</t>
        </is>
      </c>
      <c r="C19" s="25" t="n">
        <v>-1760</v>
      </c>
      <c r="D19" s="25" t="n">
        <v>-2191</v>
      </c>
      <c r="E19" s="25" t="n">
        <v>-2302</v>
      </c>
      <c r="F19" s="25" t="n">
        <v>-2425</v>
      </c>
    </row>
    <row r="20">
      <c r="A20" s="3" t="inlineStr">
        <is>
          <t>Other Equity Adjustments</t>
        </is>
      </c>
      <c r="C20" s="25" t="n">
        <v>-1760</v>
      </c>
      <c r="D20" s="25" t="n">
        <v>-2191</v>
      </c>
      <c r="E20" s="25" t="n">
        <v>-2302</v>
      </c>
      <c r="F20" s="25" t="n">
        <v>-2425</v>
      </c>
    </row>
    <row r="21">
      <c r="A21" s="3" t="inlineStr">
        <is>
          <t>Retained Earnings</t>
        </is>
      </c>
      <c r="C21" s="25" t="n">
        <v>-496</v>
      </c>
      <c r="D21" s="25" t="n">
        <v>761</v>
      </c>
      <c r="E21" s="25" t="n">
        <v>4066</v>
      </c>
      <c r="F21" s="25" t="n">
        <v>5899</v>
      </c>
    </row>
    <row r="22">
      <c r="A22" s="3" t="inlineStr">
        <is>
          <t>Capital Stock</t>
        </is>
      </c>
      <c r="C22" s="25" t="n">
        <v>13274</v>
      </c>
      <c r="D22" s="25" t="n">
        <v>12355</v>
      </c>
      <c r="E22" s="25" t="n">
        <v>11402</v>
      </c>
      <c r="F22" s="25" t="n">
        <v>11043</v>
      </c>
    </row>
    <row r="23">
      <c r="A23" s="3" t="inlineStr">
        <is>
          <t>Common Stock</t>
        </is>
      </c>
      <c r="C23" s="25" t="n">
        <v>13274</v>
      </c>
      <c r="D23" s="25" t="n">
        <v>12355</v>
      </c>
      <c r="E23" s="25" t="n">
        <v>11402</v>
      </c>
      <c r="F23" s="25" t="n">
        <v>11043</v>
      </c>
    </row>
    <row r="24">
      <c r="A24" s="3" t="inlineStr">
        <is>
          <t>Total Liabilities Net Minority Interest</t>
        </is>
      </c>
      <c r="C24" s="25" t="n">
        <v>35537</v>
      </c>
      <c r="D24" s="25" t="n">
        <v>39472</v>
      </c>
      <c r="E24" s="25" t="n">
        <v>39387</v>
      </c>
      <c r="F24" s="25" t="n">
        <v>42396</v>
      </c>
    </row>
    <row r="25">
      <c r="A25" s="3" t="inlineStr">
        <is>
          <t>Total Non Current Liabilities Net Minority Interest</t>
        </is>
      </c>
      <c r="C25" s="25" t="n">
        <v>27698</v>
      </c>
      <c r="D25" s="25" t="n">
        <v>33153</v>
      </c>
      <c r="E25" s="25" t="n">
        <v>32541</v>
      </c>
      <c r="F25" s="25" t="n">
        <v>34452</v>
      </c>
    </row>
    <row r="26">
      <c r="A26" s="3" t="inlineStr">
        <is>
          <t>Other Non Current Liabilities</t>
        </is>
      </c>
      <c r="C26" s="25" t="n">
        <v>2408</v>
      </c>
      <c r="D26" s="25" t="n">
        <v>2421</v>
      </c>
      <c r="E26" s="25" t="n">
        <v>2585</v>
      </c>
      <c r="F26" s="25" t="n">
        <v>2740</v>
      </c>
    </row>
    <row r="27">
      <c r="A27" s="3" t="inlineStr">
        <is>
          <t>Derivative Product Liabilities</t>
        </is>
      </c>
      <c r="C27" s="25" t="n">
        <v>983</v>
      </c>
      <c r="D27" s="25" t="n">
        <v>419</v>
      </c>
      <c r="E27" s="25" t="n">
        <v>399</v>
      </c>
      <c r="F27" s="25" t="n">
        <v>414</v>
      </c>
    </row>
    <row r="28">
      <c r="A28" s="3" t="inlineStr">
        <is>
          <t>Employee Benefits</t>
        </is>
      </c>
      <c r="C28" s="25" t="n">
        <v>1214</v>
      </c>
      <c r="D28" s="25" t="n">
        <v>1802</v>
      </c>
      <c r="E28" s="25" t="n">
        <v>1875</v>
      </c>
      <c r="F28" s="25" t="n">
        <v>1977</v>
      </c>
    </row>
    <row r="29">
      <c r="A29" s="3" t="inlineStr">
        <is>
          <t>Non Current Pension And Other Postretirement Benefit Plans</t>
        </is>
      </c>
      <c r="C29" s="25" t="n">
        <v>1214</v>
      </c>
      <c r="D29" s="25" t="n">
        <v>1802</v>
      </c>
      <c r="E29" s="25" t="n">
        <v>1875</v>
      </c>
      <c r="F29" s="25" t="n">
        <v>1977</v>
      </c>
    </row>
    <row r="30">
      <c r="A30" s="3" t="inlineStr">
        <is>
          <t>Dueto Related Parties Non Current</t>
        </is>
      </c>
      <c r="B30" s="25" t="n">
        <v>3357</v>
      </c>
      <c r="C30" s="25" t="n">
        <v>0</v>
      </c>
    </row>
    <row r="31">
      <c r="A31" s="3" t="inlineStr">
        <is>
          <t>Tradeand Other Payables Non Current</t>
        </is>
      </c>
      <c r="C31" s="25" t="n">
        <v>2897</v>
      </c>
      <c r="D31" s="25" t="n">
        <v>3688</v>
      </c>
      <c r="E31" s="25" t="n">
        <v>4518</v>
      </c>
      <c r="F31" s="25" t="n">
        <v>5334</v>
      </c>
    </row>
    <row r="32">
      <c r="A32" s="3" t="inlineStr">
        <is>
          <t>Non Current Deferred Liabilities</t>
        </is>
      </c>
      <c r="C32" s="25" t="n">
        <v>3031</v>
      </c>
      <c r="D32" s="25" t="n">
        <v>3209</v>
      </c>
      <c r="E32" s="25" t="n">
        <v>3331</v>
      </c>
      <c r="F32" s="25" t="n">
        <v>3544</v>
      </c>
    </row>
    <row r="33">
      <c r="A33" s="3" t="inlineStr">
        <is>
          <t>Non Current Deferred Taxes Liabilities</t>
        </is>
      </c>
      <c r="C33" s="25" t="n">
        <v>3031</v>
      </c>
      <c r="D33" s="25" t="n">
        <v>3209</v>
      </c>
      <c r="E33" s="25" t="n">
        <v>3331</v>
      </c>
      <c r="F33" s="25" t="n">
        <v>3544</v>
      </c>
    </row>
    <row r="34">
      <c r="A34" s="3" t="inlineStr">
        <is>
          <t>Long Term Debt And Capital Lease Obligation</t>
        </is>
      </c>
      <c r="C34" s="25" t="n">
        <v>4466</v>
      </c>
      <c r="D34" s="25" t="n">
        <v>7496</v>
      </c>
      <c r="E34" s="25" t="n">
        <v>7384</v>
      </c>
      <c r="F34" s="25" t="n">
        <v>7250</v>
      </c>
    </row>
    <row r="35">
      <c r="A35" s="3" t="inlineStr">
        <is>
          <t>Long Term Debt</t>
        </is>
      </c>
      <c r="C35" s="25" t="n">
        <v>4466</v>
      </c>
      <c r="D35" s="25" t="n">
        <v>7496</v>
      </c>
      <c r="E35" s="25" t="n">
        <v>7384</v>
      </c>
      <c r="F35" s="25" t="n">
        <v>7250</v>
      </c>
    </row>
    <row r="36">
      <c r="A36" s="3" t="inlineStr">
        <is>
          <t>Long Term Provisions</t>
        </is>
      </c>
      <c r="C36" s="25" t="n">
        <v>12699</v>
      </c>
      <c r="D36" s="25" t="n">
        <v>14118</v>
      </c>
      <c r="E36" s="25" t="n">
        <v>12449</v>
      </c>
      <c r="F36" s="25" t="n">
        <v>13193</v>
      </c>
    </row>
    <row r="37">
      <c r="A37" s="3" t="inlineStr">
        <is>
          <t>Current Liabilities</t>
        </is>
      </c>
      <c r="C37" s="25" t="n">
        <v>7839</v>
      </c>
      <c r="D37" s="25" t="n">
        <v>6319</v>
      </c>
      <c r="E37" s="25" t="n">
        <v>6846</v>
      </c>
      <c r="F37" s="25" t="n">
        <v>7944</v>
      </c>
    </row>
    <row r="38">
      <c r="A38" s="3" t="inlineStr">
        <is>
          <t>Other Current Liabilities</t>
        </is>
      </c>
      <c r="C38" s="25" t="n">
        <v>2803</v>
      </c>
      <c r="D38" s="25" t="n">
        <v>1942</v>
      </c>
      <c r="E38" s="25" t="n">
        <v>1875</v>
      </c>
      <c r="F38" s="25" t="n">
        <v>1908</v>
      </c>
    </row>
    <row r="39">
      <c r="A39" s="3" t="inlineStr">
        <is>
          <t>Current Debt And Capital Lease Obligation</t>
        </is>
      </c>
      <c r="C39" s="25" t="n">
        <v>1302</v>
      </c>
      <c r="D39" s="25" t="n">
        <v>1765</v>
      </c>
      <c r="E39" s="25" t="n">
        <v>1028</v>
      </c>
      <c r="F39" s="25" t="n">
        <v>1742</v>
      </c>
    </row>
    <row r="40">
      <c r="A40" s="3" t="inlineStr">
        <is>
          <t>Current Debt</t>
        </is>
      </c>
      <c r="C40" s="25" t="n">
        <v>1302</v>
      </c>
      <c r="D40" s="25" t="n">
        <v>1765</v>
      </c>
      <c r="E40" s="25" t="n">
        <v>1028</v>
      </c>
      <c r="F40" s="25" t="n">
        <v>1742</v>
      </c>
    </row>
    <row r="41">
      <c r="A41" s="3" t="inlineStr">
        <is>
          <t>Other Current Borrowings</t>
        </is>
      </c>
      <c r="C41" s="25" t="n">
        <v>1302</v>
      </c>
      <c r="D41" s="25" t="n">
        <v>1765</v>
      </c>
      <c r="E41" s="25" t="n">
        <v>1028</v>
      </c>
      <c r="F41" s="25" t="n">
        <v>1742</v>
      </c>
    </row>
    <row r="42">
      <c r="A42" s="3" t="inlineStr">
        <is>
          <t>Pensionand Other Post Retirement Benefit Plans Current</t>
        </is>
      </c>
      <c r="E42" s="25" t="n">
        <v>907</v>
      </c>
      <c r="F42" s="25" t="n">
        <v>920</v>
      </c>
    </row>
    <row r="43">
      <c r="A43" s="3" t="inlineStr">
        <is>
          <t>Payables And Accrued Expenses</t>
        </is>
      </c>
      <c r="C43" s="25" t="n">
        <v>3734</v>
      </c>
      <c r="D43" s="25" t="n">
        <v>2612</v>
      </c>
      <c r="E43" s="25" t="n">
        <v>3036</v>
      </c>
      <c r="F43" s="25" t="n">
        <v>3374</v>
      </c>
    </row>
    <row r="44">
      <c r="A44" s="3" t="inlineStr">
        <is>
          <t>Current Accrued Expenses</t>
        </is>
      </c>
      <c r="B44" s="25" t="n">
        <v>737</v>
      </c>
      <c r="C44" s="25" t="n">
        <v>906</v>
      </c>
      <c r="E44" s="25" t="n">
        <v>435</v>
      </c>
      <c r="F44" s="25" t="n">
        <v>315</v>
      </c>
    </row>
    <row r="45">
      <c r="A45" s="3" t="inlineStr">
        <is>
          <t>Interest Payable</t>
        </is>
      </c>
      <c r="E45" s="25" t="n">
        <v>435</v>
      </c>
      <c r="F45" s="25" t="n">
        <v>315</v>
      </c>
    </row>
    <row r="46">
      <c r="A46" s="3" t="inlineStr">
        <is>
          <t>Payables</t>
        </is>
      </c>
      <c r="B46" s="25" t="n">
        <v>1888</v>
      </c>
      <c r="C46" s="25" t="n">
        <v>2828</v>
      </c>
      <c r="E46" s="25" t="n">
        <v>2601</v>
      </c>
      <c r="F46" s="25" t="n">
        <v>3059</v>
      </c>
    </row>
    <row r="47">
      <c r="A47" s="3" t="inlineStr">
        <is>
          <t>Dueto Related Parties Current</t>
        </is>
      </c>
      <c r="B47" s="25" t="n">
        <v>131</v>
      </c>
      <c r="C47" s="25" t="n">
        <v>0</v>
      </c>
    </row>
    <row r="48">
      <c r="A48" s="3" t="inlineStr">
        <is>
          <t>Total Tax Payable</t>
        </is>
      </c>
      <c r="E48" s="25" t="n">
        <v>232</v>
      </c>
      <c r="F48" s="25" t="n">
        <v>246</v>
      </c>
    </row>
    <row r="49">
      <c r="A49" s="3" t="inlineStr">
        <is>
          <t>Accounts Payable</t>
        </is>
      </c>
      <c r="B49" s="25" t="n">
        <v>1757</v>
      </c>
      <c r="C49" s="25" t="n">
        <v>2828</v>
      </c>
      <c r="E49" s="25" t="n">
        <v>2369</v>
      </c>
      <c r="F49" s="25" t="n">
        <v>2813</v>
      </c>
    </row>
    <row r="50">
      <c r="A50" s="3" t="inlineStr">
        <is>
          <t>Total Assets</t>
        </is>
      </c>
      <c r="C50" s="25" t="n">
        <v>46909</v>
      </c>
      <c r="D50" s="25" t="n">
        <v>50758</v>
      </c>
      <c r="E50" s="25" t="n">
        <v>52926</v>
      </c>
      <c r="F50" s="25" t="n">
        <v>57249</v>
      </c>
    </row>
    <row r="51">
      <c r="A51" s="3" t="inlineStr">
        <is>
          <t>Total Non Current Assets</t>
        </is>
      </c>
      <c r="C51" s="25" t="n">
        <v>37549</v>
      </c>
      <c r="D51" s="25" t="n">
        <v>42459</v>
      </c>
      <c r="E51" s="25" t="n">
        <v>42150</v>
      </c>
      <c r="F51" s="25" t="n">
        <v>45130</v>
      </c>
    </row>
    <row r="52">
      <c r="A52" s="3" t="inlineStr">
        <is>
          <t>Other Non Current Assets</t>
        </is>
      </c>
      <c r="C52" s="25" t="n">
        <v>16173</v>
      </c>
      <c r="D52" s="25" t="n">
        <v>18308</v>
      </c>
      <c r="E52" s="25" t="n">
        <v>19483</v>
      </c>
      <c r="F52" s="25" t="n">
        <v>21479</v>
      </c>
    </row>
    <row r="53">
      <c r="A53" s="3" t="inlineStr">
        <is>
          <t>Defined Pension Benefit</t>
        </is>
      </c>
      <c r="B53" s="25" t="n">
        <v>1683</v>
      </c>
      <c r="C53" s="25" t="n">
        <v>0</v>
      </c>
    </row>
    <row r="54">
      <c r="A54" s="3" t="inlineStr">
        <is>
          <t>Non Current Deferred Assets</t>
        </is>
      </c>
      <c r="B54" s="25" t="n">
        <v>32</v>
      </c>
      <c r="C54" s="25" t="n">
        <v>44</v>
      </c>
      <c r="D54" s="25" t="n">
        <v>52</v>
      </c>
      <c r="E54" s="25" t="n">
        <v>0</v>
      </c>
    </row>
    <row r="55">
      <c r="A55" s="3" t="inlineStr">
        <is>
          <t>Non Current Deferred Taxes Assets</t>
        </is>
      </c>
      <c r="B55" s="25" t="n">
        <v>32</v>
      </c>
      <c r="C55" s="25" t="n">
        <v>44</v>
      </c>
      <c r="D55" s="25" t="n">
        <v>52</v>
      </c>
      <c r="E55" s="25" t="n">
        <v>0</v>
      </c>
    </row>
    <row r="56">
      <c r="A56" s="3" t="inlineStr">
        <is>
          <t>Financial Assets</t>
        </is>
      </c>
      <c r="C56" s="25" t="n">
        <v>1261</v>
      </c>
      <c r="D56" s="25" t="n">
        <v>995</v>
      </c>
      <c r="E56" s="25" t="n">
        <v>372</v>
      </c>
      <c r="F56" s="25" t="n">
        <v>450</v>
      </c>
    </row>
    <row r="57">
      <c r="A57" s="3" t="inlineStr">
        <is>
          <t>Investments And Advances</t>
        </is>
      </c>
      <c r="C57" s="25" t="n">
        <v>202</v>
      </c>
      <c r="D57" s="25" t="n">
        <v>563</v>
      </c>
      <c r="E57" s="25" t="n">
        <v>640</v>
      </c>
      <c r="F57" s="25" t="n">
        <v>307</v>
      </c>
    </row>
    <row r="58">
      <c r="A58" s="3" t="inlineStr">
        <is>
          <t>Other Investments</t>
        </is>
      </c>
      <c r="C58" s="25" t="n">
        <v>68</v>
      </c>
      <c r="D58" s="25" t="n">
        <v>82</v>
      </c>
      <c r="E58" s="25" t="n">
        <v>100</v>
      </c>
      <c r="F58" s="25" t="n">
        <v>112</v>
      </c>
    </row>
    <row r="59">
      <c r="A59" s="3" t="inlineStr">
        <is>
          <t>Investmentin Financial Assets</t>
        </is>
      </c>
      <c r="C59" s="25" t="n">
        <v>52</v>
      </c>
      <c r="D59" s="25" t="n">
        <v>474</v>
      </c>
      <c r="E59" s="25" t="n">
        <v>538</v>
      </c>
      <c r="F59" s="25" t="n">
        <v>192</v>
      </c>
    </row>
    <row r="60">
      <c r="A60" s="3" t="inlineStr">
        <is>
          <t>Available For Sale Securities</t>
        </is>
      </c>
      <c r="C60" s="25" t="n">
        <v>52</v>
      </c>
      <c r="D60" s="25" t="n">
        <v>474</v>
      </c>
      <c r="E60" s="25" t="n">
        <v>538</v>
      </c>
      <c r="F60" s="25" t="n">
        <v>192</v>
      </c>
    </row>
    <row r="61">
      <c r="A61" s="3" t="inlineStr">
        <is>
          <t>Long Term Equity Investment</t>
        </is>
      </c>
      <c r="C61" s="25" t="n">
        <v>82</v>
      </c>
      <c r="D61" s="25" t="n">
        <v>7</v>
      </c>
      <c r="E61" s="25" t="n">
        <v>2</v>
      </c>
      <c r="F61" s="25" t="n">
        <v>3</v>
      </c>
    </row>
    <row r="62">
      <c r="A62" s="3" t="inlineStr">
        <is>
          <t>Goodwill And Other Intangible Assets</t>
        </is>
      </c>
      <c r="C62" s="25" t="n">
        <v>47</v>
      </c>
      <c r="D62" s="25" t="n">
        <v>425</v>
      </c>
      <c r="E62" s="25" t="n">
        <v>420</v>
      </c>
      <c r="F62" s="25" t="n">
        <v>420</v>
      </c>
    </row>
    <row r="63">
      <c r="A63" s="3" t="inlineStr">
        <is>
          <t>Goodwill</t>
        </is>
      </c>
      <c r="C63" s="25" t="n">
        <v>47</v>
      </c>
      <c r="D63" s="25" t="n">
        <v>425</v>
      </c>
      <c r="E63" s="25" t="n">
        <v>420</v>
      </c>
      <c r="F63" s="25" t="n">
        <v>420</v>
      </c>
    </row>
    <row r="64">
      <c r="A64" s="3" t="inlineStr">
        <is>
          <t>Net PPE</t>
        </is>
      </c>
      <c r="C64" s="25" t="n">
        <v>19822</v>
      </c>
      <c r="D64" s="25" t="n">
        <v>22116</v>
      </c>
      <c r="E64" s="25" t="n">
        <v>21235</v>
      </c>
      <c r="F64" s="25" t="n">
        <v>22474</v>
      </c>
    </row>
    <row r="65">
      <c r="A65" s="3" t="inlineStr">
        <is>
          <t>Accumulated Depreciation</t>
        </is>
      </c>
      <c r="C65" s="25" t="n">
        <v>-16726</v>
      </c>
      <c r="D65" s="25" t="n">
        <v>-17423</v>
      </c>
      <c r="E65" s="25" t="n">
        <v>-18088</v>
      </c>
      <c r="F65" s="25" t="n">
        <v>-19072</v>
      </c>
    </row>
    <row r="66">
      <c r="A66" s="3" t="inlineStr">
        <is>
          <t>Gross PPE</t>
        </is>
      </c>
      <c r="C66" s="25" t="n">
        <v>36548</v>
      </c>
      <c r="D66" s="25" t="n">
        <v>39539</v>
      </c>
      <c r="E66" s="25" t="n">
        <v>39323</v>
      </c>
      <c r="F66" s="25" t="n">
        <v>41546</v>
      </c>
    </row>
    <row r="67">
      <c r="A67" s="3" t="inlineStr">
        <is>
          <t>Construction In Progress</t>
        </is>
      </c>
      <c r="C67" s="25" t="n">
        <v>630</v>
      </c>
      <c r="D67" s="25" t="n">
        <v>1133</v>
      </c>
      <c r="E67" s="25" t="n">
        <v>1273</v>
      </c>
      <c r="F67" s="25" t="n">
        <v>1995</v>
      </c>
    </row>
    <row r="68">
      <c r="A68" s="3" t="inlineStr">
        <is>
          <t>Other Properties</t>
        </is>
      </c>
      <c r="B68" s="25" t="n">
        <v>10</v>
      </c>
      <c r="C68" s="25" t="n">
        <v>8</v>
      </c>
      <c r="D68" s="25" t="n">
        <v>14</v>
      </c>
      <c r="E68" s="25" t="n">
        <v>15</v>
      </c>
    </row>
    <row r="69">
      <c r="A69" s="3" t="inlineStr">
        <is>
          <t>Properties</t>
        </is>
      </c>
      <c r="B69" s="25" t="n">
        <v>35076</v>
      </c>
      <c r="C69" s="25" t="n">
        <v>35910</v>
      </c>
      <c r="D69" s="25" t="n">
        <v>38392</v>
      </c>
      <c r="E69" s="25" t="n">
        <v>38035</v>
      </c>
    </row>
    <row r="70">
      <c r="A70" s="3" t="inlineStr">
        <is>
          <t>Current Assets</t>
        </is>
      </c>
      <c r="C70" s="25" t="n">
        <v>9360</v>
      </c>
      <c r="D70" s="25" t="n">
        <v>8299</v>
      </c>
      <c r="E70" s="25" t="n">
        <v>10776</v>
      </c>
      <c r="F70" s="25" t="n">
        <v>12119</v>
      </c>
    </row>
    <row r="71">
      <c r="A71" s="3" t="inlineStr">
        <is>
          <t>Other Current Assets</t>
        </is>
      </c>
      <c r="C71" s="25" t="n">
        <v>1643</v>
      </c>
      <c r="D71" s="25" t="n">
        <v>2315</v>
      </c>
      <c r="E71" s="25" t="n">
        <v>1486</v>
      </c>
      <c r="F71" s="25" t="n">
        <v>1424</v>
      </c>
    </row>
    <row r="72">
      <c r="A72" s="3" t="inlineStr">
        <is>
          <t>Hedging Assets Current</t>
        </is>
      </c>
      <c r="C72" s="25" t="n">
        <v>2368</v>
      </c>
      <c r="D72" s="25" t="n">
        <v>1179</v>
      </c>
      <c r="E72" s="25" t="n">
        <v>843</v>
      </c>
      <c r="F72" s="25" t="n">
        <v>945</v>
      </c>
    </row>
    <row r="73">
      <c r="A73" s="3" t="inlineStr">
        <is>
          <t>Assets Held For Sale Current</t>
        </is>
      </c>
      <c r="B73" s="25" t="n">
        <v>13</v>
      </c>
    </row>
    <row r="74">
      <c r="A74" s="3" t="inlineStr">
        <is>
          <t>Restricted Cash</t>
        </is>
      </c>
      <c r="C74" s="25" t="n">
        <v>106</v>
      </c>
      <c r="D74" s="25" t="n">
        <v>86</v>
      </c>
      <c r="E74" s="25" t="n">
        <v>107</v>
      </c>
      <c r="F74" s="25" t="n">
        <v>107</v>
      </c>
    </row>
    <row r="75">
      <c r="A75" s="3" t="inlineStr">
        <is>
          <t>Inventory</t>
        </is>
      </c>
      <c r="C75" s="25" t="n">
        <v>1505</v>
      </c>
      <c r="D75" s="25" t="n">
        <v>1500</v>
      </c>
      <c r="E75" s="25" t="n">
        <v>1600</v>
      </c>
      <c r="F75" s="25" t="n">
        <v>1736</v>
      </c>
    </row>
    <row r="76">
      <c r="A76" s="3" t="inlineStr">
        <is>
          <t>Raw Materials</t>
        </is>
      </c>
      <c r="B76" s="25" t="n">
        <v>1288</v>
      </c>
      <c r="C76" s="25" t="n">
        <v>1505</v>
      </c>
      <c r="D76" s="25" t="n">
        <v>1500</v>
      </c>
      <c r="E76" s="25" t="n">
        <v>1600</v>
      </c>
    </row>
    <row r="77">
      <c r="A77" s="3" t="inlineStr">
        <is>
          <t>Receivables</t>
        </is>
      </c>
      <c r="C77" s="25" t="n">
        <v>3316</v>
      </c>
      <c r="D77" s="25" t="n">
        <v>2851</v>
      </c>
      <c r="E77" s="25" t="n">
        <v>3718</v>
      </c>
      <c r="F77" s="25" t="n">
        <v>4266</v>
      </c>
    </row>
    <row r="78">
      <c r="A78" s="3" t="inlineStr">
        <is>
          <t>Other Receivables</t>
        </is>
      </c>
      <c r="C78" s="25" t="n">
        <v>731</v>
      </c>
      <c r="D78" s="25" t="n">
        <v>917</v>
      </c>
      <c r="E78" s="25" t="n">
        <v>602</v>
      </c>
      <c r="F78" s="25" t="n">
        <v>689</v>
      </c>
    </row>
    <row r="79">
      <c r="A79" s="3" t="inlineStr">
        <is>
          <t>Duefrom Related Parties Current</t>
        </is>
      </c>
      <c r="B79" s="25" t="n">
        <v>160</v>
      </c>
      <c r="C79" s="25" t="n">
        <v>0</v>
      </c>
    </row>
    <row r="80">
      <c r="A80" s="3" t="inlineStr">
        <is>
          <t>Accounts Receivable</t>
        </is>
      </c>
      <c r="C80" s="25" t="n">
        <v>2585</v>
      </c>
      <c r="D80" s="25" t="n">
        <v>1934</v>
      </c>
      <c r="E80" s="25" t="n">
        <v>3116</v>
      </c>
      <c r="F80" s="25" t="n">
        <v>3577</v>
      </c>
    </row>
    <row r="81">
      <c r="A81" s="3" t="inlineStr">
        <is>
          <t>Allowance For Doubtful Accounts Receivable</t>
        </is>
      </c>
      <c r="C81" s="25" t="n">
        <v>-46</v>
      </c>
      <c r="D81" s="25" t="n">
        <v>-56</v>
      </c>
      <c r="E81" s="25" t="n">
        <v>-190</v>
      </c>
      <c r="F81" s="25" t="n">
        <v>-158</v>
      </c>
    </row>
    <row r="82">
      <c r="A82" s="3" t="inlineStr">
        <is>
          <t>Gross Accounts Receivable</t>
        </is>
      </c>
      <c r="C82" s="25" t="n">
        <v>2631</v>
      </c>
      <c r="D82" s="25" t="n">
        <v>1990</v>
      </c>
      <c r="E82" s="25" t="n">
        <v>3306</v>
      </c>
      <c r="F82" s="25" t="n">
        <v>3735</v>
      </c>
    </row>
    <row r="83">
      <c r="A83" s="3" t="inlineStr">
        <is>
          <t>Cash Cash Equivalents And Short Term Investments</t>
        </is>
      </c>
      <c r="C83" s="25" t="n">
        <v>422</v>
      </c>
      <c r="D83" s="25" t="n">
        <v>368</v>
      </c>
      <c r="E83" s="25" t="n">
        <v>3022</v>
      </c>
      <c r="F83" s="25" t="n">
        <v>3641</v>
      </c>
    </row>
    <row r="84">
      <c r="A84" s="3" t="inlineStr">
        <is>
          <t>Cash And Cash Equivalents</t>
        </is>
      </c>
      <c r="C84" s="25" t="n">
        <v>422</v>
      </c>
      <c r="D84" s="25" t="n">
        <v>368</v>
      </c>
      <c r="E84" s="25" t="n">
        <v>3022</v>
      </c>
      <c r="F84" s="25" t="n">
        <v>3641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-4042</v>
      </c>
      <c r="D5" s="25" t="n">
        <v>-7723</v>
      </c>
      <c r="E5" s="25" t="n">
        <v>-5029</v>
      </c>
      <c r="F5" s="25" t="n">
        <v>1288</v>
      </c>
    </row>
    <row r="6">
      <c r="A6" s="3" t="inlineStr">
        <is>
          <t>Repurchase Of Capital Stock</t>
        </is>
      </c>
      <c r="C6" s="25" t="n">
        <v>0</v>
      </c>
      <c r="D6" s="25" t="n">
        <v>-992</v>
      </c>
      <c r="E6" s="25" t="n">
        <v>-999</v>
      </c>
      <c r="F6" s="25" t="n">
        <v>-400</v>
      </c>
    </row>
    <row r="7">
      <c r="A7" s="3" t="inlineStr">
        <is>
          <t>Repayment Of Debt</t>
        </is>
      </c>
      <c r="C7" s="25" t="n">
        <v>-2600</v>
      </c>
      <c r="D7" s="25" t="n">
        <v>-368</v>
      </c>
      <c r="E7" s="25" t="n">
        <v>-1965</v>
      </c>
      <c r="F7" s="25" t="n">
        <v>-1076</v>
      </c>
    </row>
    <row r="8">
      <c r="A8" s="3" t="inlineStr">
        <is>
          <t>Issuance Of Debt</t>
        </is>
      </c>
      <c r="C8" s="25" t="n">
        <v>271</v>
      </c>
      <c r="D8" s="25" t="n">
        <v>3880</v>
      </c>
      <c r="E8" s="25" t="n">
        <v>1120</v>
      </c>
      <c r="F8" s="25" t="n">
        <v>1650</v>
      </c>
    </row>
    <row r="9">
      <c r="A9" s="3" t="inlineStr">
        <is>
          <t>Capital Expenditure</t>
        </is>
      </c>
      <c r="C9" s="25" t="n">
        <v>-1689</v>
      </c>
      <c r="D9" s="25" t="n">
        <v>-2422</v>
      </c>
      <c r="E9" s="25" t="n">
        <v>-2565</v>
      </c>
      <c r="F9" s="25" t="n">
        <v>-2949</v>
      </c>
    </row>
    <row r="10">
      <c r="A10" s="3" t="inlineStr">
        <is>
          <t>Interest Paid Supplemental Data</t>
        </is>
      </c>
      <c r="C10" s="25" t="n">
        <v>230</v>
      </c>
      <c r="D10" s="25" t="n">
        <v>264</v>
      </c>
      <c r="E10" s="25" t="n">
        <v>375</v>
      </c>
      <c r="F10" s="25" t="n">
        <v>412</v>
      </c>
    </row>
    <row r="11">
      <c r="A11" s="3" t="inlineStr">
        <is>
          <t>Income Tax Paid Supplemental Data</t>
        </is>
      </c>
      <c r="C11" s="25" t="n">
        <v>287</v>
      </c>
      <c r="D11" s="25" t="n">
        <v>466</v>
      </c>
      <c r="E11" s="25" t="n">
        <v>436</v>
      </c>
      <c r="F11" s="25" t="n">
        <v>446</v>
      </c>
    </row>
    <row r="12">
      <c r="A12" s="3" t="inlineStr">
        <is>
          <t>End Cash Position</t>
        </is>
      </c>
      <c r="C12" s="25" t="n">
        <v>528</v>
      </c>
      <c r="D12" s="25" t="n">
        <v>454</v>
      </c>
      <c r="E12" s="25" t="n">
        <v>3129</v>
      </c>
      <c r="F12" s="25" t="n">
        <v>3748</v>
      </c>
    </row>
    <row r="13">
      <c r="A13" s="3" t="inlineStr">
        <is>
          <t>Beginning Cash Position</t>
        </is>
      </c>
      <c r="C13" s="25" t="n">
        <v>576</v>
      </c>
      <c r="D13" s="25" t="n">
        <v>528</v>
      </c>
      <c r="E13" s="25" t="n">
        <v>454</v>
      </c>
      <c r="F13" s="25" t="n">
        <v>3129</v>
      </c>
    </row>
    <row r="14">
      <c r="A14" s="3" t="inlineStr">
        <is>
          <t>Changes In Cash</t>
        </is>
      </c>
      <c r="C14" s="25" t="n">
        <v>-48</v>
      </c>
      <c r="D14" s="25" t="n">
        <v>-74</v>
      </c>
      <c r="E14" s="25" t="n">
        <v>2675</v>
      </c>
      <c r="F14" s="25" t="n">
        <v>619</v>
      </c>
    </row>
    <row r="15">
      <c r="A15" s="3" t="inlineStr">
        <is>
          <t>Financing Cash Flow</t>
        </is>
      </c>
      <c r="C15" s="25" t="n">
        <v>-799</v>
      </c>
      <c r="D15" s="25" t="n">
        <v>2196</v>
      </c>
      <c r="E15" s="25" t="n">
        <v>-2289</v>
      </c>
      <c r="F15" s="25" t="n">
        <v>-420</v>
      </c>
    </row>
    <row r="16">
      <c r="A16" s="3" t="inlineStr">
        <is>
          <t>Cash Flow From Continuing Financing Activities</t>
        </is>
      </c>
      <c r="C16" s="25" t="n">
        <v>-799</v>
      </c>
      <c r="D16" s="25" t="n">
        <v>2196</v>
      </c>
      <c r="E16" s="25" t="n">
        <v>-2289</v>
      </c>
      <c r="F16" s="25" t="n">
        <v>-420</v>
      </c>
    </row>
    <row r="17">
      <c r="A17" s="3" t="inlineStr">
        <is>
          <t>Net Other Financing Charges</t>
        </is>
      </c>
      <c r="C17" s="25" t="n">
        <v>1715</v>
      </c>
      <c r="D17" s="25" t="n">
        <v>42</v>
      </c>
      <c r="E17" s="25" t="n">
        <v>-1</v>
      </c>
      <c r="F17" s="25" t="n">
        <v>-108</v>
      </c>
    </row>
    <row r="18">
      <c r="A18" s="3" t="inlineStr">
        <is>
          <t>Cash Dividends Paid</t>
        </is>
      </c>
      <c r="C18" s="25" t="n">
        <v>-185</v>
      </c>
      <c r="D18" s="25" t="n">
        <v>-366</v>
      </c>
      <c r="E18" s="25" t="n">
        <v>-444</v>
      </c>
      <c r="F18" s="25" t="n">
        <v>-486</v>
      </c>
    </row>
    <row r="19">
      <c r="A19" s="3" t="inlineStr">
        <is>
          <t>Common Stock Dividend Paid</t>
        </is>
      </c>
      <c r="C19" s="25" t="n">
        <v>-185</v>
      </c>
      <c r="D19" s="25" t="n">
        <v>-366</v>
      </c>
      <c r="E19" s="25" t="n">
        <v>-444</v>
      </c>
      <c r="F19" s="25" t="n">
        <v>-486</v>
      </c>
    </row>
    <row r="20">
      <c r="A20" s="3" t="inlineStr">
        <is>
          <t>Net Common Stock Issuance</t>
        </is>
      </c>
      <c r="C20" s="25" t="n">
        <v>0</v>
      </c>
      <c r="D20" s="25" t="n">
        <v>-992</v>
      </c>
      <c r="E20" s="25" t="n">
        <v>-999</v>
      </c>
      <c r="F20" s="25" t="n">
        <v>-400</v>
      </c>
    </row>
    <row r="21">
      <c r="A21" s="3" t="inlineStr">
        <is>
          <t>Common Stock Payments</t>
        </is>
      </c>
      <c r="C21" s="25" t="n">
        <v>0</v>
      </c>
      <c r="D21" s="25" t="n">
        <v>-992</v>
      </c>
      <c r="E21" s="25" t="n">
        <v>-999</v>
      </c>
      <c r="F21" s="25" t="n">
        <v>-400</v>
      </c>
    </row>
    <row r="22">
      <c r="A22" s="3" t="inlineStr">
        <is>
          <t>Net Issuance Payments Of Debt</t>
        </is>
      </c>
      <c r="C22" s="25" t="n">
        <v>-2329</v>
      </c>
      <c r="D22" s="25" t="n">
        <v>3512</v>
      </c>
      <c r="E22" s="25" t="n">
        <v>-845</v>
      </c>
      <c r="F22" s="25" t="n">
        <v>574</v>
      </c>
    </row>
    <row r="23">
      <c r="A23" s="3" t="inlineStr">
        <is>
          <t>Net Short Term Debt Issuance</t>
        </is>
      </c>
      <c r="C23" s="25" t="n">
        <v>-923</v>
      </c>
      <c r="D23" s="25" t="n">
        <v>485</v>
      </c>
      <c r="E23" s="25" t="n">
        <v>-1644</v>
      </c>
      <c r="F23" s="25" t="n">
        <v>1650</v>
      </c>
    </row>
    <row r="24">
      <c r="A24" s="3" t="inlineStr">
        <is>
          <t>Short Term Debt Payments</t>
        </is>
      </c>
      <c r="C24" s="25" t="n">
        <v>-1180</v>
      </c>
      <c r="D24" s="25" t="n">
        <v>-200</v>
      </c>
      <c r="E24" s="25" t="n">
        <v>-1844</v>
      </c>
      <c r="F24" s="25" t="n">
        <v>0</v>
      </c>
    </row>
    <row r="25">
      <c r="A25" s="3" t="inlineStr">
        <is>
          <t>Short Term Debt Issuance</t>
        </is>
      </c>
      <c r="C25" s="25" t="n">
        <v>257</v>
      </c>
      <c r="D25" s="25" t="n">
        <v>685</v>
      </c>
      <c r="E25" s="25" t="n">
        <v>200</v>
      </c>
      <c r="F25" s="25" t="n">
        <v>1650</v>
      </c>
    </row>
    <row r="26">
      <c r="A26" s="3" t="inlineStr">
        <is>
          <t>Net Long Term Debt Issuance</t>
        </is>
      </c>
      <c r="C26" s="25" t="n">
        <v>-1406</v>
      </c>
      <c r="D26" s="25" t="n">
        <v>3027</v>
      </c>
      <c r="E26" s="25" t="n">
        <v>799</v>
      </c>
      <c r="F26" s="25" t="n">
        <v>-1076</v>
      </c>
    </row>
    <row r="27">
      <c r="A27" s="3" t="inlineStr">
        <is>
          <t>Long Term Debt Payments</t>
        </is>
      </c>
      <c r="C27" s="25" t="n">
        <v>-1420</v>
      </c>
      <c r="D27" s="25" t="n">
        <v>-168</v>
      </c>
      <c r="E27" s="25" t="n">
        <v>-121</v>
      </c>
      <c r="F27" s="25" t="n">
        <v>-1076</v>
      </c>
    </row>
    <row r="28">
      <c r="A28" s="3" t="inlineStr">
        <is>
          <t>Long Term Debt Issuance</t>
        </is>
      </c>
      <c r="C28" s="25" t="n">
        <v>14</v>
      </c>
      <c r="D28" s="25" t="n">
        <v>3195</v>
      </c>
      <c r="E28" s="25" t="n">
        <v>920</v>
      </c>
      <c r="F28" s="25" t="n">
        <v>0</v>
      </c>
    </row>
    <row r="29">
      <c r="A29" s="3" t="inlineStr">
        <is>
          <t>Investing Cash Flow</t>
        </is>
      </c>
      <c r="C29" s="25" t="n">
        <v>3104</v>
      </c>
      <c r="D29" s="25" t="n">
        <v>3031</v>
      </c>
      <c r="E29" s="25" t="n">
        <v>7428</v>
      </c>
      <c r="F29" s="25" t="n">
        <v>-3198</v>
      </c>
    </row>
    <row r="30">
      <c r="A30" s="3" t="inlineStr">
        <is>
          <t>Cash Flow From Continuing Investing Activities</t>
        </is>
      </c>
      <c r="C30" s="25" t="n">
        <v>3104</v>
      </c>
      <c r="D30" s="25" t="n">
        <v>3031</v>
      </c>
      <c r="E30" s="25" t="n">
        <v>7428</v>
      </c>
      <c r="F30" s="25" t="n">
        <v>-3198</v>
      </c>
    </row>
    <row r="31">
      <c r="A31" s="3" t="inlineStr">
        <is>
          <t>Net Other Investing Changes</t>
        </is>
      </c>
      <c r="C31" s="25" t="n">
        <v>5014</v>
      </c>
      <c r="D31" s="25" t="n">
        <v>5681</v>
      </c>
      <c r="E31" s="25" t="n">
        <v>10270</v>
      </c>
      <c r="F31" s="25" t="n">
        <v>89</v>
      </c>
    </row>
    <row r="32">
      <c r="A32" s="3" t="inlineStr">
        <is>
          <t>Net Investment Purchase And Sale</t>
        </is>
      </c>
      <c r="C32" s="25" t="n">
        <v>-221</v>
      </c>
      <c r="D32" s="25" t="n">
        <v>-228</v>
      </c>
      <c r="E32" s="25" t="n">
        <v>-277</v>
      </c>
      <c r="F32" s="25" t="n">
        <v>-338</v>
      </c>
    </row>
    <row r="33">
      <c r="A33" s="3" t="inlineStr">
        <is>
          <t>Sale Of Investment</t>
        </is>
      </c>
      <c r="C33" s="25" t="n">
        <v>4050</v>
      </c>
      <c r="D33" s="25" t="n">
        <v>5822</v>
      </c>
      <c r="E33" s="25" t="n">
        <v>6005</v>
      </c>
      <c r="F33" s="25" t="n">
        <v>6946</v>
      </c>
    </row>
    <row r="34">
      <c r="A34" s="3" t="inlineStr">
        <is>
          <t>Purchase Of Investment</t>
        </is>
      </c>
      <c r="C34" s="25" t="n">
        <v>-4271</v>
      </c>
      <c r="D34" s="25" t="n">
        <v>-6050</v>
      </c>
      <c r="E34" s="25" t="n">
        <v>-6282</v>
      </c>
      <c r="F34" s="25" t="n">
        <v>-7284</v>
      </c>
    </row>
    <row r="35">
      <c r="A35" s="3" t="inlineStr">
        <is>
          <t>Capital Expenditure Reported</t>
        </is>
      </c>
      <c r="C35" s="25" t="n">
        <v>-1689</v>
      </c>
      <c r="D35" s="25" t="n">
        <v>-2422</v>
      </c>
      <c r="E35" s="25" t="n">
        <v>-2565</v>
      </c>
      <c r="F35" s="25" t="n">
        <v>-2949</v>
      </c>
    </row>
    <row r="36">
      <c r="A36" s="3" t="inlineStr">
        <is>
          <t>Operating Cash Flow</t>
        </is>
      </c>
      <c r="C36" s="25" t="n">
        <v>-2353</v>
      </c>
      <c r="D36" s="25" t="n">
        <v>-5301</v>
      </c>
      <c r="E36" s="25" t="n">
        <v>-2464</v>
      </c>
      <c r="F36" s="25" t="n">
        <v>4237</v>
      </c>
    </row>
    <row r="37">
      <c r="A37" s="3" t="inlineStr">
        <is>
          <t>Cash Flow From Continuing Operating Activities</t>
        </is>
      </c>
      <c r="C37" s="25" t="n">
        <v>-2353</v>
      </c>
      <c r="D37" s="25" t="n">
        <v>-5301</v>
      </c>
      <c r="E37" s="25" t="n">
        <v>-2464</v>
      </c>
      <c r="F37" s="25" t="n">
        <v>4237</v>
      </c>
    </row>
    <row r="38">
      <c r="A38" s="3" t="inlineStr">
        <is>
          <t>Change In Working Capital</t>
        </is>
      </c>
      <c r="C38" s="25" t="n">
        <v>-5246</v>
      </c>
      <c r="D38" s="25" t="n">
        <v>-8355</v>
      </c>
      <c r="E38" s="25" t="n">
        <v>-9168</v>
      </c>
      <c r="F38" s="25" t="n">
        <v>-7</v>
      </c>
    </row>
    <row r="39">
      <c r="A39" s="3" t="inlineStr">
        <is>
          <t>Change In Other Working Capital</t>
        </is>
      </c>
      <c r="C39" s="25" t="n">
        <v>-5292</v>
      </c>
      <c r="D39" s="25" t="n">
        <v>-7481</v>
      </c>
      <c r="E39" s="25" t="n">
        <v>-10878</v>
      </c>
      <c r="F39" s="25" t="n">
        <v>174</v>
      </c>
    </row>
    <row r="40">
      <c r="A40" s="3" t="inlineStr">
        <is>
          <t>Change In Payables And Accrued Expense</t>
        </is>
      </c>
      <c r="C40" s="25" t="n">
        <v>1142</v>
      </c>
      <c r="D40" s="25" t="n">
        <v>-1330</v>
      </c>
      <c r="E40" s="25" t="n">
        <v>1121</v>
      </c>
      <c r="F40" s="25" t="n">
        <v>316</v>
      </c>
    </row>
    <row r="41">
      <c r="A41" s="3" t="inlineStr">
        <is>
          <t>Change In Payable</t>
        </is>
      </c>
      <c r="B41" s="25" t="n">
        <v>346</v>
      </c>
    </row>
    <row r="42">
      <c r="A42" s="3" t="inlineStr">
        <is>
          <t>Change In Account Payable</t>
        </is>
      </c>
      <c r="B42" s="25" t="n">
        <v>346</v>
      </c>
    </row>
    <row r="43">
      <c r="A43" s="3" t="inlineStr">
        <is>
          <t>Change In Inventory</t>
        </is>
      </c>
      <c r="C43" s="25" t="n">
        <v>-228</v>
      </c>
      <c r="D43" s="25" t="n">
        <v>60</v>
      </c>
      <c r="E43" s="25" t="n">
        <v>-99</v>
      </c>
      <c r="F43" s="25" t="n">
        <v>-134</v>
      </c>
    </row>
    <row r="44">
      <c r="A44" s="3" t="inlineStr">
        <is>
          <t>Change In Receivables</t>
        </is>
      </c>
      <c r="C44" s="25" t="n">
        <v>-868</v>
      </c>
      <c r="D44" s="25" t="n">
        <v>396</v>
      </c>
      <c r="E44" s="25" t="n">
        <v>688</v>
      </c>
      <c r="F44" s="25" t="n">
        <v>-363</v>
      </c>
    </row>
    <row r="45">
      <c r="A45" s="3" t="inlineStr">
        <is>
          <t>Changes In Account Receivables</t>
        </is>
      </c>
      <c r="C45" s="25" t="n">
        <v>-868</v>
      </c>
      <c r="D45" s="25" t="n">
        <v>396</v>
      </c>
      <c r="E45" s="25" t="n">
        <v>688</v>
      </c>
      <c r="F45" s="25" t="n">
        <v>-363</v>
      </c>
    </row>
    <row r="46">
      <c r="A46" s="3" t="inlineStr">
        <is>
          <t>Other Non Cash Items</t>
        </is>
      </c>
      <c r="C46" s="25" t="n">
        <v>61</v>
      </c>
      <c r="D46" s="25" t="n">
        <v>-870</v>
      </c>
      <c r="E46" s="25" t="n">
        <v>2356</v>
      </c>
      <c r="F46" s="25" t="n">
        <v>-505</v>
      </c>
    </row>
    <row r="47">
      <c r="A47" s="3" t="inlineStr">
        <is>
          <t>Unrealized Gain Loss On Investment Securities</t>
        </is>
      </c>
      <c r="B47" s="25" t="n">
        <v>160</v>
      </c>
    </row>
    <row r="48">
      <c r="A48" s="3" t="inlineStr">
        <is>
          <t>Asset Impairment Charge</t>
        </is>
      </c>
      <c r="B48" s="25" t="n">
        <v>545</v>
      </c>
      <c r="C48" s="25" t="n">
        <v>0</v>
      </c>
    </row>
    <row r="49">
      <c r="A49" s="3" t="inlineStr">
        <is>
          <t>Deferred Tax</t>
        </is>
      </c>
      <c r="C49" s="25" t="n">
        <v>-643</v>
      </c>
      <c r="D49" s="25" t="n">
        <v>251</v>
      </c>
      <c r="E49" s="25" t="n">
        <v>222</v>
      </c>
      <c r="F49" s="25" t="n">
        <v>273</v>
      </c>
    </row>
    <row r="50">
      <c r="A50" s="3" t="inlineStr">
        <is>
          <t>Deferred Income Tax</t>
        </is>
      </c>
      <c r="C50" s="25" t="n">
        <v>-643</v>
      </c>
      <c r="D50" s="25" t="n">
        <v>251</v>
      </c>
      <c r="E50" s="25" t="n">
        <v>222</v>
      </c>
      <c r="F50" s="25" t="n">
        <v>273</v>
      </c>
    </row>
    <row r="51">
      <c r="A51" s="3" t="inlineStr">
        <is>
          <t>Depreciation Amortization Depletion</t>
        </is>
      </c>
      <c r="C51" s="25" t="n">
        <v>1849</v>
      </c>
      <c r="D51" s="25" t="n">
        <v>1883</v>
      </c>
      <c r="E51" s="25" t="n">
        <v>2007</v>
      </c>
      <c r="F51" s="25" t="n">
        <v>1937</v>
      </c>
    </row>
    <row r="52">
      <c r="A52" s="3" t="inlineStr">
        <is>
          <t>Depreciation And Amortization</t>
        </is>
      </c>
      <c r="C52" s="25" t="n">
        <v>1849</v>
      </c>
      <c r="D52" s="25" t="n">
        <v>1883</v>
      </c>
      <c r="E52" s="25" t="n">
        <v>2007</v>
      </c>
      <c r="F52" s="25" t="n">
        <v>1937</v>
      </c>
    </row>
    <row r="53">
      <c r="A53" s="3" t="inlineStr">
        <is>
          <t>Amortization Cash Flow</t>
        </is>
      </c>
      <c r="C53" s="25" t="n">
        <v>26</v>
      </c>
      <c r="D53" s="25" t="n">
        <v>23</v>
      </c>
      <c r="E53" s="25" t="n">
        <v>22</v>
      </c>
      <c r="F53" s="25" t="n">
        <v>18</v>
      </c>
    </row>
    <row r="54">
      <c r="A54" s="3" t="inlineStr">
        <is>
          <t>Amortization Of Intangibles</t>
        </is>
      </c>
      <c r="C54" s="25" t="n">
        <v>26</v>
      </c>
      <c r="D54" s="25" t="n">
        <v>23</v>
      </c>
      <c r="E54" s="25" t="n">
        <v>22</v>
      </c>
      <c r="F54" s="25" t="n">
        <v>18</v>
      </c>
    </row>
    <row r="55">
      <c r="A55" s="3" t="inlineStr">
        <is>
          <t>Depreciation</t>
        </is>
      </c>
      <c r="C55" s="25" t="n">
        <v>1823</v>
      </c>
      <c r="D55" s="25" t="n">
        <v>1860</v>
      </c>
      <c r="E55" s="25" t="n">
        <v>1985</v>
      </c>
      <c r="F55" s="25" t="n">
        <v>1919</v>
      </c>
    </row>
    <row r="56">
      <c r="A56" s="3" t="inlineStr">
        <is>
          <t>Operating Gains Losses</t>
        </is>
      </c>
      <c r="C56" s="25" t="n">
        <v>1793</v>
      </c>
      <c r="D56" s="25" t="n">
        <v>213</v>
      </c>
      <c r="E56" s="25" t="n">
        <v>-1619</v>
      </c>
      <c r="F56" s="25" t="n">
        <v>216</v>
      </c>
    </row>
    <row r="57">
      <c r="A57" s="3" t="inlineStr">
        <is>
          <t>Gain Loss On Investment Securities</t>
        </is>
      </c>
      <c r="C57" s="25" t="n">
        <v>1793</v>
      </c>
      <c r="D57" s="25" t="n">
        <v>213</v>
      </c>
      <c r="E57" s="25" t="n">
        <v>-1619</v>
      </c>
      <c r="F57" s="25" t="n">
        <v>216</v>
      </c>
    </row>
    <row r="58">
      <c r="A58" s="3" t="inlineStr">
        <is>
          <t>Net Income From Continuing Operations</t>
        </is>
      </c>
      <c r="C58" s="25" t="n">
        <v>-167</v>
      </c>
      <c r="D58" s="25" t="n">
        <v>1577</v>
      </c>
      <c r="E58" s="25" t="n">
        <v>3738</v>
      </c>
      <c r="F58" s="25" t="n">
        <v>2323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2026-10-13T11:39:32Z</dcterms:created>
  <dcterms:modified xmlns:dcterms="http://purl.org/dc/terms/" xmlns:xsi="http://www.w3.org/2001/XMLSchema-instance" xsi:type="dcterms:W3CDTF">2026-10-13T11:39:32Z</dcterms:modified>
</cp:coreProperties>
</file>