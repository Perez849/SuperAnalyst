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NVIDIA Corporation (NVDA)</t>
        </is>
      </c>
    </row>
    <row r="2">
      <c r="A2" s="2" t="inlineStr">
        <is>
          <t>Technology · Standard (forward multiples + DCF) · generated 2026-10-13 · data: Yahoo snapshot as of 2026-07-08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270.3735326589133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NVDA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197.12664298595</v>
      </c>
      <c r="D5" s="6" t="n">
        <v>176.7483467801727</v>
      </c>
      <c r="E5" s="6" t="n">
        <v>219.4191710831196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283.200225</v>
      </c>
      <c r="D6" s="6" t="n">
        <v>232.2241845</v>
      </c>
      <c r="E6" s="6" t="n">
        <v>334.1762654999999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239.7677707994089</v>
      </c>
      <c r="D7" s="6" t="n">
        <v>196.992416694465</v>
      </c>
      <c r="E7" s="6" t="n">
        <v>282.5431249043529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0.1146038799367739</v>
      </c>
    </row>
    <row r="12">
      <c r="A12" s="3" t="inlineStr">
        <is>
          <t>Dividends per share (12m)</t>
        </is>
      </c>
      <c r="B12" s="6" t="n">
        <v>0.0402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301.62</v>
      </c>
    </row>
    <row r="15">
      <c r="A15" s="3" t="inlineStr">
        <is>
          <t>Street weight in target</t>
        </is>
      </c>
      <c r="B15" s="11" t="n">
        <v>0.15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204.12</v>
      </c>
    </row>
    <row r="18">
      <c r="A18" s="3" t="inlineStr">
        <is>
          <t>Engine target (incl. plausibility band)</t>
        </is>
      </c>
      <c r="B18" s="6" t="n">
        <v>270.3735326589133</v>
      </c>
    </row>
    <row r="20">
      <c r="A20" s="8" t="inlineStr">
        <is>
          <t>Guardrails</t>
        </is>
      </c>
    </row>
    <row r="21">
      <c r="A21" s="2" t="inlineStr">
        <is>
          <t>Target anchored 15% to the Street consensus ($301.62); model-only target $264.86.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NVDA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FY2027E</t>
        </is>
      </c>
      <c r="C4" s="10" t="inlineStr">
        <is>
          <t>FY2028E</t>
        </is>
      </c>
      <c r="D4" s="10" t="inlineStr">
        <is>
          <t>FY2029E</t>
        </is>
      </c>
      <c r="E4" s="10" t="inlineStr">
        <is>
          <t>FY2030E</t>
        </is>
      </c>
      <c r="F4" s="10" t="inlineStr">
        <is>
          <t>FY2031E</t>
        </is>
      </c>
      <c r="G4" s="10" t="inlineStr">
        <is>
          <t>FY2032E</t>
        </is>
      </c>
      <c r="H4" s="10" t="inlineStr">
        <is>
          <t>FY2033E</t>
        </is>
      </c>
      <c r="I4" s="10" t="inlineStr">
        <is>
          <t>FY2034E</t>
        </is>
      </c>
      <c r="J4" s="10" t="inlineStr">
        <is>
          <t>FY2035E</t>
        </is>
      </c>
      <c r="K4" s="10" t="inlineStr">
        <is>
          <t>FY2036E</t>
        </is>
      </c>
    </row>
    <row r="5">
      <c r="A5" s="13" t="inlineStr">
        <is>
          <t>Revenue (mn)</t>
        </is>
      </c>
      <c r="B5" s="18" t="n">
        <v>554440</v>
      </c>
      <c r="C5" s="19" t="n">
        <v>645806.0994400255</v>
      </c>
      <c r="D5" s="19" t="n">
        <v>726668.3413311919</v>
      </c>
      <c r="E5" s="19" t="n">
        <v>797037.8965057848</v>
      </c>
      <c r="F5" s="19" t="n">
        <v>858010.523282606</v>
      </c>
      <c r="G5" s="19" t="n">
        <v>911136.9650182693</v>
      </c>
      <c r="H5" s="19" t="n">
        <v>958029.1498762461</v>
      </c>
      <c r="I5" s="19" t="n">
        <v>1000155.99589244</v>
      </c>
      <c r="J5" s="19" t="n">
        <v>1038762.787695176</v>
      </c>
      <c r="K5" s="19" t="n">
        <v>1064731.857387555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0.6445974830850275</v>
      </c>
      <c r="C7" s="11" t="n">
        <v>0.638142913042177</v>
      </c>
      <c r="D7" s="11" t="n">
        <v>0.6316883429993265</v>
      </c>
      <c r="E7" s="11" t="n">
        <v>0.625233772956476</v>
      </c>
      <c r="F7" s="11" t="n">
        <v>0.6187792029136255</v>
      </c>
      <c r="G7" s="11" t="n">
        <v>0.612324632870775</v>
      </c>
      <c r="H7" s="11" t="n">
        <v>0.6058700628279245</v>
      </c>
      <c r="I7" s="11" t="n">
        <v>0.599415492785074</v>
      </c>
      <c r="J7" s="11" t="n">
        <v>0.599415492785074</v>
      </c>
      <c r="K7" s="11" t="n">
        <v>0.599415492785074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309059.96</v>
      </c>
      <c r="C9" s="19" t="n">
        <v>356419.5348501363</v>
      </c>
      <c r="D9" s="19" t="n">
        <v>397016.3740161437</v>
      </c>
      <c r="E9" s="19" t="n">
        <v>431032.5376173494</v>
      </c>
      <c r="F9" s="19" t="n">
        <v>459230.6202960665</v>
      </c>
      <c r="G9" s="19" t="n">
        <v>482589.8319678983</v>
      </c>
      <c r="H9" s="19" t="n">
        <v>502086.8145026244</v>
      </c>
      <c r="I9" s="19" t="n">
        <v>518588.0106189381</v>
      </c>
      <c r="J9" s="19" t="n">
        <v>538614.5591402202</v>
      </c>
      <c r="K9" s="19" t="n">
        <v>552085.5265519732</v>
      </c>
    </row>
    <row r="10">
      <c r="A10" s="3" t="inlineStr">
        <is>
          <t>EPS</t>
        </is>
      </c>
      <c r="B10" s="16">
        <f>B9*1000000/24221000000.0</f>
        <v/>
      </c>
      <c r="C10" s="16">
        <f>C9*1000000/24221000000.0</f>
        <v/>
      </c>
      <c r="D10" s="16">
        <f>D9*1000000/24221000000.0</f>
        <v/>
      </c>
      <c r="E10" s="16">
        <f>E9*1000000/24221000000.0</f>
        <v/>
      </c>
      <c r="F10" s="16">
        <f>F9*1000000/24221000000.0</f>
        <v/>
      </c>
      <c r="G10" s="16">
        <f>G9*1000000/24221000000.0</f>
        <v/>
      </c>
      <c r="H10" s="16">
        <f>H9*1000000/24221000000.0</f>
        <v/>
      </c>
      <c r="I10" s="16">
        <f>I9*1000000/24221000000.0</f>
        <v/>
      </c>
      <c r="J10" s="16">
        <f>J9*1000000/24221000000.0</f>
        <v/>
      </c>
      <c r="K10" s="16">
        <f>K9*1000000/24221000000.0</f>
        <v/>
      </c>
    </row>
    <row r="12">
      <c r="A12" s="13" t="inlineStr">
        <is>
          <t>Levered FCF (mn)</t>
        </is>
      </c>
      <c r="B12" s="20" t="n">
        <v>256407.5697703674</v>
      </c>
      <c r="C12" s="20" t="n">
        <v>338948.2586116076</v>
      </c>
      <c r="D12" s="20" t="n">
        <v>380873.3017311503</v>
      </c>
      <c r="E12" s="20" t="n">
        <v>416356.6828550179</v>
      </c>
      <c r="F12" s="20" t="n">
        <v>445983.7109139795</v>
      </c>
      <c r="G12" s="20" t="n">
        <v>470646.8302946997</v>
      </c>
      <c r="H12" s="20" t="n">
        <v>491295.3462942344</v>
      </c>
      <c r="I12" s="20" t="n">
        <v>508801.4578386336</v>
      </c>
      <c r="J12" s="20" t="n">
        <v>529707.2972319083</v>
      </c>
      <c r="K12" s="20" t="n">
        <v>545440.9956541875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NVDA — Assumptions &amp; Drivers</t>
        </is>
      </c>
    </row>
    <row r="2">
      <c r="A2" s="2" t="inlineStr">
        <is>
          <t>Blue cells are inputs — change them and the whole model recalculates. Source: Yahoo snapshot as of 2026-07-08,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204.12</v>
      </c>
    </row>
    <row r="6">
      <c r="A6" s="3" t="inlineStr">
        <is>
          <t>Diluted shares (mn)</t>
        </is>
      </c>
      <c r="B6" s="18" t="n">
        <v>24221</v>
      </c>
    </row>
    <row r="7">
      <c r="A7" s="3" t="inlineStr">
        <is>
          <t>Total debt (USDmm)</t>
        </is>
      </c>
      <c r="B7" s="18" t="n">
        <v>11040</v>
      </c>
    </row>
    <row r="8">
      <c r="A8" s="3" t="inlineStr">
        <is>
          <t>Cash &amp; ST investments (USDmm)</t>
        </is>
      </c>
      <c r="B8" s="18" t="n">
        <v>62556</v>
      </c>
    </row>
    <row r="9">
      <c r="A9" s="3" t="inlineStr">
        <is>
          <t>Minority interest (USDmm)</t>
        </is>
      </c>
      <c r="B9" s="18" t="n">
        <v>0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1.56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0.1346049038575892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FY2027E</t>
        </is>
      </c>
      <c r="C25" s="10" t="inlineStr">
        <is>
          <t>FY2028E</t>
        </is>
      </c>
      <c r="D25" s="10" t="inlineStr">
        <is>
          <t>FY2029E</t>
        </is>
      </c>
      <c r="E25" s="10" t="inlineStr">
        <is>
          <t>FY2030E</t>
        </is>
      </c>
      <c r="F25" s="10" t="inlineStr">
        <is>
          <t>FY2031E</t>
        </is>
      </c>
      <c r="G25" s="10" t="inlineStr">
        <is>
          <t>FY2032E</t>
        </is>
      </c>
      <c r="H25" s="10" t="inlineStr">
        <is>
          <t>FY2033E</t>
        </is>
      </c>
      <c r="I25" s="10" t="inlineStr">
        <is>
          <t>FY2034E</t>
        </is>
      </c>
      <c r="J25" s="10" t="inlineStr">
        <is>
          <t>FY2035E</t>
        </is>
      </c>
      <c r="K25" s="10" t="inlineStr">
        <is>
          <t>FY2036E</t>
        </is>
      </c>
    </row>
    <row r="26">
      <c r="A26" s="3" t="inlineStr">
        <is>
          <t>Revenue growth</t>
        </is>
      </c>
      <c r="B26" s="11" t="n">
        <v>1.567588844946235</v>
      </c>
      <c r="C26" s="11" t="n">
        <v>0.1647898770651929</v>
      </c>
      <c r="D26" s="11" t="n">
        <v>0.125211331948214</v>
      </c>
      <c r="E26" s="11" t="n">
        <v>0.09683861422348755</v>
      </c>
      <c r="F26" s="11" t="n">
        <v>0.07649903102992379</v>
      </c>
      <c r="G26" s="11" t="n">
        <v>0.06191817034179282</v>
      </c>
      <c r="H26" s="11" t="n">
        <v>0.05146557176180035</v>
      </c>
      <c r="I26" s="11" t="n">
        <v>0.04397240524636979</v>
      </c>
      <c r="J26" s="11" t="n">
        <v>0.03860077024113361</v>
      </c>
      <c r="K26" s="11" t="n">
        <v>0.025</v>
      </c>
    </row>
    <row r="27">
      <c r="A27" s="3" t="inlineStr">
        <is>
          <t>EBIT margin</t>
        </is>
      </c>
      <c r="B27" s="11" t="n">
        <v>0.6445974830850275</v>
      </c>
      <c r="C27" s="11" t="n">
        <v>0.638142913042177</v>
      </c>
      <c r="D27" s="11" t="n">
        <v>0.6316883429993265</v>
      </c>
      <c r="E27" s="11" t="n">
        <v>0.625233772956476</v>
      </c>
      <c r="F27" s="11" t="n">
        <v>0.6187792029136255</v>
      </c>
      <c r="G27" s="11" t="n">
        <v>0.612324632870775</v>
      </c>
      <c r="H27" s="11" t="n">
        <v>0.6058700628279245</v>
      </c>
      <c r="I27" s="11" t="n">
        <v>0.599415492785074</v>
      </c>
      <c r="J27" s="11" t="n">
        <v>0.599415492785074</v>
      </c>
      <c r="K27" s="11" t="n">
        <v>0.599415492785074</v>
      </c>
    </row>
    <row r="28">
      <c r="A28" s="3" t="inlineStr">
        <is>
          <t>D&amp;A % of revenue</t>
        </is>
      </c>
      <c r="B28" s="11" t="n">
        <v>0.0273514662325203</v>
      </c>
      <c r="C28" s="11" t="n">
        <v>0.0273514662325203</v>
      </c>
      <c r="D28" s="11" t="n">
        <v>0.0273514662325203</v>
      </c>
      <c r="E28" s="11" t="n">
        <v>0.0273514662325203</v>
      </c>
      <c r="F28" s="11" t="n">
        <v>0.0273514662325203</v>
      </c>
      <c r="G28" s="11" t="n">
        <v>0.0273514662325203</v>
      </c>
      <c r="H28" s="11" t="n">
        <v>0.0273514662325203</v>
      </c>
      <c r="I28" s="11" t="n">
        <v>0.0273514662325203</v>
      </c>
      <c r="J28" s="11" t="n">
        <v>0.0273514662325203</v>
      </c>
      <c r="K28" s="11" t="n">
        <v>0.0273514662325203</v>
      </c>
    </row>
    <row r="29">
      <c r="A29" s="3" t="inlineStr">
        <is>
          <t>Capex % of revenue</t>
        </is>
      </c>
      <c r="B29" s="11" t="n">
        <v>0.03456977806240261</v>
      </c>
      <c r="C29" s="11" t="n">
        <v>0.03407164859499924</v>
      </c>
      <c r="D29" s="11" t="n">
        <v>0.03357351912759587</v>
      </c>
      <c r="E29" s="11" t="n">
        <v>0.03307538966019252</v>
      </c>
      <c r="F29" s="11" t="n">
        <v>0.03257726019278915</v>
      </c>
      <c r="G29" s="11" t="n">
        <v>0.03207913072538578</v>
      </c>
      <c r="H29" s="11" t="n">
        <v>0.03158100125798242</v>
      </c>
      <c r="I29" s="11" t="n">
        <v>0.03108287179057906</v>
      </c>
      <c r="J29" s="11" t="n">
        <v>0.03058474232317569</v>
      </c>
      <c r="K29" s="11" t="n">
        <v>0.03008661285577233</v>
      </c>
    </row>
    <row r="30">
      <c r="A30" s="3" t="inlineStr">
        <is>
          <t>ΔNWC % of Δrevenue</t>
        </is>
      </c>
      <c r="B30" s="11" t="n">
        <v>0.1437222510315231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FY2023A</t>
        </is>
      </c>
      <c r="C4" s="10" t="inlineStr">
        <is>
          <t>FY2024A</t>
        </is>
      </c>
      <c r="D4" s="10" t="inlineStr">
        <is>
          <t>FY2025A</t>
        </is>
      </c>
      <c r="E4" s="10" t="inlineStr">
        <is>
          <t>FY2026A</t>
        </is>
      </c>
      <c r="F4" s="10" t="inlineStr">
        <is>
          <t>FY2027E</t>
        </is>
      </c>
      <c r="G4" s="10" t="inlineStr">
        <is>
          <t>FY2028E</t>
        </is>
      </c>
      <c r="H4" s="10" t="inlineStr">
        <is>
          <t>FY2029E</t>
        </is>
      </c>
      <c r="I4" s="10" t="inlineStr">
        <is>
          <t>FY2030E</t>
        </is>
      </c>
      <c r="J4" s="10" t="inlineStr">
        <is>
          <t>FY2031E</t>
        </is>
      </c>
      <c r="K4" s="10" t="inlineStr">
        <is>
          <t>FY2032E</t>
        </is>
      </c>
      <c r="L4" s="10" t="inlineStr">
        <is>
          <t>FY2033E</t>
        </is>
      </c>
      <c r="M4" s="10" t="inlineStr">
        <is>
          <t>FY2034E</t>
        </is>
      </c>
      <c r="N4" s="10" t="inlineStr">
        <is>
          <t>FY2035E</t>
        </is>
      </c>
      <c r="O4" s="10" t="inlineStr">
        <is>
          <t>FY2036E</t>
        </is>
      </c>
    </row>
    <row r="5">
      <c r="A5" s="3" t="inlineStr">
        <is>
          <t>Revenue</t>
        </is>
      </c>
      <c r="B5" s="25" t="n">
        <v>26974</v>
      </c>
      <c r="C5" s="25" t="n">
        <v>60922</v>
      </c>
      <c r="D5" s="25" t="n">
        <v>130497</v>
      </c>
      <c r="E5" s="25" t="n">
        <v>215938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5577</v>
      </c>
      <c r="C7" s="25" t="n">
        <v>32972</v>
      </c>
      <c r="D7" s="25" t="n">
        <v>81453</v>
      </c>
      <c r="E7" s="25" t="n">
        <v>130387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1543</v>
      </c>
      <c r="C9" s="25" t="n">
        <v>1508</v>
      </c>
      <c r="D9" s="25" t="n">
        <v>1864</v>
      </c>
      <c r="E9" s="25" t="n">
        <v>2843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1833</v>
      </c>
      <c r="C12" s="25" t="n">
        <v>1069</v>
      </c>
      <c r="D12" s="25" t="n">
        <v>3236</v>
      </c>
      <c r="E12" s="25" t="n">
        <v>6042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2207</v>
      </c>
      <c r="C13" s="25" t="n">
        <v>3722</v>
      </c>
      <c r="D13" s="25" t="n">
        <v>9383</v>
      </c>
      <c r="E13" s="25" t="n">
        <v>15949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FY2027E</t>
        </is>
      </c>
      <c r="C4" s="10" t="inlineStr">
        <is>
          <t>FY2028E</t>
        </is>
      </c>
      <c r="D4" s="10" t="inlineStr">
        <is>
          <t>FY2029E</t>
        </is>
      </c>
      <c r="E4" s="10" t="inlineStr">
        <is>
          <t>FY2030E</t>
        </is>
      </c>
      <c r="F4" s="10" t="inlineStr">
        <is>
          <t>FY2031E</t>
        </is>
      </c>
      <c r="G4" s="10" t="inlineStr">
        <is>
          <t>FY2032E</t>
        </is>
      </c>
      <c r="H4" s="10" t="inlineStr">
        <is>
          <t>FY2033E</t>
        </is>
      </c>
      <c r="I4" s="10" t="inlineStr">
        <is>
          <t>FY2034E</t>
        </is>
      </c>
      <c r="J4" s="10" t="inlineStr">
        <is>
          <t>FY2035E</t>
        </is>
      </c>
      <c r="K4" s="10" t="inlineStr">
        <is>
          <t>FY2036E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105777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0.0994430166080667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0.1069430166080667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0.1144430166080667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0.1219430166080667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0.1294430166080667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NVDA — IS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FY2022</t>
        </is>
      </c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</row>
    <row r="5">
      <c r="A5" s="3" t="inlineStr">
        <is>
          <t>Tax Effect Of Unusual Items</t>
        </is>
      </c>
      <c r="C5" s="25" t="n">
        <v>-284.13</v>
      </c>
      <c r="D5" s="25" t="n">
        <v>0</v>
      </c>
      <c r="E5" s="25" t="n">
        <v>0</v>
      </c>
      <c r="F5" s="25" t="n">
        <v>0</v>
      </c>
    </row>
    <row r="6">
      <c r="A6" s="3" t="inlineStr">
        <is>
          <t>Tax Rate For Calcs</t>
        </is>
      </c>
      <c r="C6" s="25" t="n">
        <v>2.1e-13</v>
      </c>
      <c r="D6" s="25" t="n">
        <v>1.2e-13</v>
      </c>
      <c r="E6" s="25" t="n">
        <v>1.32649e-13</v>
      </c>
      <c r="F6" s="25" t="n">
        <v>1.5117e-13</v>
      </c>
    </row>
    <row r="7">
      <c r="A7" s="3" t="inlineStr">
        <is>
          <t>Normalized EBITDA</t>
        </is>
      </c>
      <c r="C7" s="25" t="n">
        <v>7339</v>
      </c>
      <c r="D7" s="25" t="n">
        <v>35583</v>
      </c>
      <c r="E7" s="25" t="n">
        <v>86137</v>
      </c>
      <c r="F7" s="25" t="n">
        <v>144552</v>
      </c>
    </row>
    <row r="8">
      <c r="A8" s="3" t="inlineStr">
        <is>
          <t>Total Unusual Items</t>
        </is>
      </c>
      <c r="B8" s="25" t="n">
        <v>0</v>
      </c>
      <c r="C8" s="25" t="n">
        <v>-1353</v>
      </c>
      <c r="D8" s="25" t="n">
        <v>0</v>
      </c>
      <c r="E8" s="25" t="n">
        <v>0</v>
      </c>
    </row>
    <row r="9">
      <c r="A9" s="3" t="inlineStr">
        <is>
          <t>Total Unusual Items Excluding Goodwill</t>
        </is>
      </c>
      <c r="B9" s="25" t="n">
        <v>0</v>
      </c>
      <c r="C9" s="25" t="n">
        <v>-1353</v>
      </c>
      <c r="D9" s="25" t="n">
        <v>0</v>
      </c>
      <c r="E9" s="25" t="n">
        <v>0</v>
      </c>
    </row>
    <row r="10">
      <c r="A10" s="3" t="inlineStr">
        <is>
          <t>Net Income From Continuing Operation Net Minority Interest</t>
        </is>
      </c>
      <c r="C10" s="25" t="n">
        <v>4368</v>
      </c>
      <c r="D10" s="25" t="n">
        <v>29760</v>
      </c>
      <c r="E10" s="25" t="n">
        <v>72880</v>
      </c>
      <c r="F10" s="25" t="n">
        <v>120067</v>
      </c>
    </row>
    <row r="11">
      <c r="A11" s="3" t="inlineStr">
        <is>
          <t>Reconciled Depreciation</t>
        </is>
      </c>
      <c r="C11" s="25" t="n">
        <v>1543</v>
      </c>
      <c r="D11" s="25" t="n">
        <v>1508</v>
      </c>
      <c r="E11" s="25" t="n">
        <v>1864</v>
      </c>
      <c r="F11" s="25" t="n">
        <v>2843</v>
      </c>
    </row>
    <row r="12">
      <c r="A12" s="3" t="inlineStr">
        <is>
          <t>Reconciled Cost Of Revenue</t>
        </is>
      </c>
      <c r="C12" s="25" t="n">
        <v>11618</v>
      </c>
      <c r="D12" s="25" t="n">
        <v>16621</v>
      </c>
      <c r="E12" s="25" t="n">
        <v>32639</v>
      </c>
      <c r="F12" s="25" t="n">
        <v>62475</v>
      </c>
    </row>
    <row r="13">
      <c r="A13" s="3" t="inlineStr">
        <is>
          <t>EBITDA</t>
        </is>
      </c>
      <c r="C13" s="25" t="n">
        <v>5986</v>
      </c>
      <c r="D13" s="25" t="n">
        <v>35583</v>
      </c>
      <c r="E13" s="25" t="n">
        <v>86137</v>
      </c>
      <c r="F13" s="25" t="n">
        <v>144552</v>
      </c>
    </row>
    <row r="14">
      <c r="A14" s="3" t="inlineStr">
        <is>
          <t>EBIT</t>
        </is>
      </c>
      <c r="C14" s="25" t="n">
        <v>4443</v>
      </c>
      <c r="D14" s="25" t="n">
        <v>34075</v>
      </c>
      <c r="E14" s="25" t="n">
        <v>84273</v>
      </c>
      <c r="F14" s="25" t="n">
        <v>141709</v>
      </c>
    </row>
    <row r="15">
      <c r="A15" s="3" t="inlineStr">
        <is>
          <t>Net Interest Income</t>
        </is>
      </c>
      <c r="C15" s="25" t="n">
        <v>5</v>
      </c>
      <c r="D15" s="25" t="n">
        <v>609</v>
      </c>
      <c r="E15" s="25" t="n">
        <v>1539</v>
      </c>
      <c r="F15" s="25" t="n">
        <v>2041</v>
      </c>
    </row>
    <row r="16">
      <c r="A16" s="3" t="inlineStr">
        <is>
          <t>Interest Expense</t>
        </is>
      </c>
      <c r="C16" s="25" t="n">
        <v>262</v>
      </c>
      <c r="D16" s="25" t="n">
        <v>257</v>
      </c>
      <c r="E16" s="25" t="n">
        <v>247</v>
      </c>
      <c r="F16" s="25" t="n">
        <v>259</v>
      </c>
    </row>
    <row r="17">
      <c r="A17" s="3" t="inlineStr">
        <is>
          <t>Interest Income</t>
        </is>
      </c>
      <c r="C17" s="25" t="n">
        <v>267</v>
      </c>
      <c r="D17" s="25" t="n">
        <v>866</v>
      </c>
      <c r="E17" s="25" t="n">
        <v>1786</v>
      </c>
      <c r="F17" s="25" t="n">
        <v>2300</v>
      </c>
    </row>
    <row r="18">
      <c r="A18" s="3" t="inlineStr">
        <is>
          <t>Normalized Income</t>
        </is>
      </c>
      <c r="C18" s="25" t="n">
        <v>5436.87</v>
      </c>
      <c r="D18" s="25" t="n">
        <v>29760</v>
      </c>
      <c r="E18" s="25" t="n">
        <v>72880</v>
      </c>
      <c r="F18" s="25" t="n">
        <v>120067</v>
      </c>
    </row>
    <row r="19">
      <c r="A19" s="3" t="inlineStr">
        <is>
          <t>Net Income From Continuing And Discontinued Operation</t>
        </is>
      </c>
      <c r="C19" s="25" t="n">
        <v>4368</v>
      </c>
      <c r="D19" s="25" t="n">
        <v>29760</v>
      </c>
      <c r="E19" s="25" t="n">
        <v>72880</v>
      </c>
      <c r="F19" s="25" t="n">
        <v>120067</v>
      </c>
    </row>
    <row r="20">
      <c r="A20" s="3" t="inlineStr">
        <is>
          <t>Total Expenses</t>
        </is>
      </c>
      <c r="C20" s="25" t="n">
        <v>21397</v>
      </c>
      <c r="D20" s="25" t="n">
        <v>27950</v>
      </c>
      <c r="E20" s="25" t="n">
        <v>49044</v>
      </c>
      <c r="F20" s="25" t="n">
        <v>85551</v>
      </c>
    </row>
    <row r="21">
      <c r="A21" s="3" t="inlineStr">
        <is>
          <t>Total Operating Income As Reported</t>
        </is>
      </c>
      <c r="C21" s="25" t="n">
        <v>4224</v>
      </c>
      <c r="D21" s="25" t="n">
        <v>32972</v>
      </c>
      <c r="E21" s="25" t="n">
        <v>81453</v>
      </c>
      <c r="F21" s="25" t="n">
        <v>130387</v>
      </c>
    </row>
    <row r="22">
      <c r="A22" s="3" t="inlineStr">
        <is>
          <t>Diluted Average Shares</t>
        </is>
      </c>
      <c r="C22" s="25" t="n">
        <v>25070</v>
      </c>
      <c r="D22" s="25" t="n">
        <v>24940</v>
      </c>
      <c r="E22" s="25" t="n">
        <v>24804</v>
      </c>
      <c r="F22" s="25" t="n">
        <v>24514</v>
      </c>
    </row>
    <row r="23">
      <c r="A23" s="3" t="inlineStr">
        <is>
          <t>Basic Average Shares</t>
        </is>
      </c>
      <c r="C23" s="25" t="n">
        <v>24870</v>
      </c>
      <c r="D23" s="25" t="n">
        <v>24690</v>
      </c>
      <c r="E23" s="25" t="n">
        <v>24555</v>
      </c>
      <c r="F23" s="25" t="n">
        <v>24359</v>
      </c>
    </row>
    <row r="24">
      <c r="A24" s="3" t="inlineStr">
        <is>
          <t>Diluted EPS</t>
        </is>
      </c>
      <c r="C24" s="25" t="n">
        <v>1.74e-13</v>
      </c>
      <c r="D24" s="25" t="n">
        <v>1.19e-12</v>
      </c>
      <c r="E24" s="25" t="n">
        <v>2.94e-12</v>
      </c>
      <c r="F24" s="25" t="n">
        <v>4.900000000000001e-12</v>
      </c>
    </row>
    <row r="25">
      <c r="A25" s="3" t="inlineStr">
        <is>
          <t>Basic EPS</t>
        </is>
      </c>
      <c r="C25" s="25" t="n">
        <v>1.76e-13</v>
      </c>
      <c r="D25" s="25" t="n">
        <v>1.21e-12</v>
      </c>
      <c r="E25" s="25" t="n">
        <v>2.97e-12</v>
      </c>
      <c r="F25" s="25" t="n">
        <v>4.929999999999999e-12</v>
      </c>
    </row>
    <row r="26">
      <c r="A26" s="3" t="inlineStr">
        <is>
          <t>Diluted NI Availto Com Stockholders</t>
        </is>
      </c>
      <c r="C26" s="25" t="n">
        <v>4368</v>
      </c>
      <c r="D26" s="25" t="n">
        <v>29760</v>
      </c>
      <c r="E26" s="25" t="n">
        <v>72880</v>
      </c>
      <c r="F26" s="25" t="n">
        <v>120067</v>
      </c>
    </row>
    <row r="27">
      <c r="A27" s="3" t="inlineStr">
        <is>
          <t>Net Income Common Stockholders</t>
        </is>
      </c>
      <c r="C27" s="25" t="n">
        <v>4368</v>
      </c>
      <c r="D27" s="25" t="n">
        <v>29760</v>
      </c>
      <c r="E27" s="25" t="n">
        <v>72880</v>
      </c>
      <c r="F27" s="25" t="n">
        <v>120067</v>
      </c>
    </row>
    <row r="28">
      <c r="A28" s="3" t="inlineStr">
        <is>
          <t>Net Income</t>
        </is>
      </c>
      <c r="C28" s="25" t="n">
        <v>4368</v>
      </c>
      <c r="D28" s="25" t="n">
        <v>29760</v>
      </c>
      <c r="E28" s="25" t="n">
        <v>72880</v>
      </c>
      <c r="F28" s="25" t="n">
        <v>120067</v>
      </c>
    </row>
    <row r="29">
      <c r="A29" s="3" t="inlineStr">
        <is>
          <t>Net Income Including Noncontrolling Interests</t>
        </is>
      </c>
      <c r="C29" s="25" t="n">
        <v>4368</v>
      </c>
      <c r="D29" s="25" t="n">
        <v>29760</v>
      </c>
      <c r="E29" s="25" t="n">
        <v>72880</v>
      </c>
      <c r="F29" s="25" t="n">
        <v>120067</v>
      </c>
    </row>
    <row r="30">
      <c r="A30" s="3" t="inlineStr">
        <is>
          <t>Net Income Continuous Operations</t>
        </is>
      </c>
      <c r="C30" s="25" t="n">
        <v>4368</v>
      </c>
      <c r="D30" s="25" t="n">
        <v>29760</v>
      </c>
      <c r="E30" s="25" t="n">
        <v>72880</v>
      </c>
      <c r="F30" s="25" t="n">
        <v>120067</v>
      </c>
    </row>
    <row r="31">
      <c r="A31" s="3" t="inlineStr">
        <is>
          <t>Tax Provision</t>
        </is>
      </c>
      <c r="C31" s="25" t="n">
        <v>-187</v>
      </c>
      <c r="D31" s="25" t="n">
        <v>4058</v>
      </c>
      <c r="E31" s="25" t="n">
        <v>11146</v>
      </c>
      <c r="F31" s="25" t="n">
        <v>21383</v>
      </c>
    </row>
    <row r="32">
      <c r="A32" s="3" t="inlineStr">
        <is>
          <t>Pretax Income</t>
        </is>
      </c>
      <c r="C32" s="25" t="n">
        <v>4181</v>
      </c>
      <c r="D32" s="25" t="n">
        <v>33818</v>
      </c>
      <c r="E32" s="25" t="n">
        <v>84026</v>
      </c>
      <c r="F32" s="25" t="n">
        <v>141450</v>
      </c>
    </row>
    <row r="33">
      <c r="A33" s="3" t="inlineStr">
        <is>
          <t>Other Income Expense</t>
        </is>
      </c>
      <c r="C33" s="25" t="n">
        <v>-1401</v>
      </c>
      <c r="D33" s="25" t="n">
        <v>237</v>
      </c>
      <c r="E33" s="25" t="n">
        <v>1034</v>
      </c>
      <c r="F33" s="25" t="n">
        <v>9022</v>
      </c>
    </row>
    <row r="34">
      <c r="A34" s="3" t="inlineStr">
        <is>
          <t>Other Non Operating Income Expenses</t>
        </is>
      </c>
      <c r="C34" s="25" t="n">
        <v>-48</v>
      </c>
      <c r="D34" s="25" t="n">
        <v>237</v>
      </c>
      <c r="E34" s="25" t="n">
        <v>1034</v>
      </c>
      <c r="F34" s="25" t="n">
        <v>9022</v>
      </c>
    </row>
    <row r="35">
      <c r="A35" s="3" t="inlineStr">
        <is>
          <t>Special Income Charges</t>
        </is>
      </c>
      <c r="B35" s="25" t="n">
        <v>0</v>
      </c>
      <c r="C35" s="25" t="n">
        <v>-1353</v>
      </c>
      <c r="D35" s="25" t="n">
        <v>0</v>
      </c>
      <c r="E35" s="25" t="n">
        <v>0</v>
      </c>
    </row>
    <row r="36">
      <c r="A36" s="3" t="inlineStr">
        <is>
          <t>Restructuring And Mergern Acquisition</t>
        </is>
      </c>
      <c r="B36" s="25" t="n">
        <v>0</v>
      </c>
      <c r="C36" s="25" t="n">
        <v>1353</v>
      </c>
      <c r="D36" s="25" t="n">
        <v>0</v>
      </c>
      <c r="E36" s="25" t="n">
        <v>0</v>
      </c>
    </row>
    <row r="37">
      <c r="A37" s="3" t="inlineStr">
        <is>
          <t>Net Non Operating Interest Income Expense</t>
        </is>
      </c>
      <c r="C37" s="25" t="n">
        <v>5</v>
      </c>
      <c r="D37" s="25" t="n">
        <v>609</v>
      </c>
      <c r="E37" s="25" t="n">
        <v>1539</v>
      </c>
      <c r="F37" s="25" t="n">
        <v>2041</v>
      </c>
    </row>
    <row r="38">
      <c r="A38" s="3" t="inlineStr">
        <is>
          <t>Interest Expense Non Operating</t>
        </is>
      </c>
      <c r="C38" s="25" t="n">
        <v>262</v>
      </c>
      <c r="D38" s="25" t="n">
        <v>257</v>
      </c>
      <c r="E38" s="25" t="n">
        <v>247</v>
      </c>
      <c r="F38" s="25" t="n">
        <v>259</v>
      </c>
    </row>
    <row r="39">
      <c r="A39" s="3" t="inlineStr">
        <is>
          <t>Interest Income Non Operating</t>
        </is>
      </c>
      <c r="C39" s="25" t="n">
        <v>267</v>
      </c>
      <c r="D39" s="25" t="n">
        <v>866</v>
      </c>
      <c r="E39" s="25" t="n">
        <v>1786</v>
      </c>
      <c r="F39" s="25" t="n">
        <v>2300</v>
      </c>
    </row>
    <row r="40">
      <c r="A40" s="3" t="inlineStr">
        <is>
          <t>Operating Income</t>
        </is>
      </c>
      <c r="C40" s="25" t="n">
        <v>5577</v>
      </c>
      <c r="D40" s="25" t="n">
        <v>32972</v>
      </c>
      <c r="E40" s="25" t="n">
        <v>81453</v>
      </c>
      <c r="F40" s="25" t="n">
        <v>130387</v>
      </c>
    </row>
    <row r="41">
      <c r="A41" s="3" t="inlineStr">
        <is>
          <t>Operating Expense</t>
        </is>
      </c>
      <c r="C41" s="25" t="n">
        <v>9779</v>
      </c>
      <c r="D41" s="25" t="n">
        <v>11329</v>
      </c>
      <c r="E41" s="25" t="n">
        <v>16405</v>
      </c>
      <c r="F41" s="25" t="n">
        <v>23076</v>
      </c>
    </row>
    <row r="42">
      <c r="A42" s="3" t="inlineStr">
        <is>
          <t>Research And Development</t>
        </is>
      </c>
      <c r="C42" s="25" t="n">
        <v>7339</v>
      </c>
      <c r="D42" s="25" t="n">
        <v>8675</v>
      </c>
      <c r="E42" s="25" t="n">
        <v>12914</v>
      </c>
      <c r="F42" s="25" t="n">
        <v>18497</v>
      </c>
    </row>
    <row r="43">
      <c r="A43" s="3" t="inlineStr">
        <is>
          <t>Selling General And Administration</t>
        </is>
      </c>
      <c r="C43" s="25" t="n">
        <v>2440</v>
      </c>
      <c r="D43" s="25" t="n">
        <v>2654</v>
      </c>
      <c r="E43" s="25" t="n">
        <v>3491</v>
      </c>
      <c r="F43" s="25" t="n">
        <v>4579</v>
      </c>
    </row>
    <row r="44">
      <c r="A44" s="3" t="inlineStr">
        <is>
          <t>Gross Profit</t>
        </is>
      </c>
      <c r="C44" s="25" t="n">
        <v>15356</v>
      </c>
      <c r="D44" s="25" t="n">
        <v>44301</v>
      </c>
      <c r="E44" s="25" t="n">
        <v>97858</v>
      </c>
      <c r="F44" s="25" t="n">
        <v>153463</v>
      </c>
    </row>
    <row r="45">
      <c r="A45" s="3" t="inlineStr">
        <is>
          <t>Cost Of Revenue</t>
        </is>
      </c>
      <c r="C45" s="25" t="n">
        <v>11618</v>
      </c>
      <c r="D45" s="25" t="n">
        <v>16621</v>
      </c>
      <c r="E45" s="25" t="n">
        <v>32639</v>
      </c>
      <c r="F45" s="25" t="n">
        <v>62475</v>
      </c>
    </row>
    <row r="46">
      <c r="A46" s="3" t="inlineStr">
        <is>
          <t>Total Revenue</t>
        </is>
      </c>
      <c r="C46" s="25" t="n">
        <v>26974</v>
      </c>
      <c r="D46" s="25" t="n">
        <v>60922</v>
      </c>
      <c r="E46" s="25" t="n">
        <v>130497</v>
      </c>
      <c r="F46" s="25" t="n">
        <v>215938</v>
      </c>
    </row>
    <row r="47">
      <c r="A47" s="3" t="inlineStr">
        <is>
          <t>Operating Revenue</t>
        </is>
      </c>
      <c r="C47" s="25" t="n">
        <v>26974</v>
      </c>
      <c r="D47" s="25" t="n">
        <v>60922</v>
      </c>
      <c r="E47" s="25" t="n">
        <v>130497</v>
      </c>
      <c r="F47" s="25" t="n">
        <v>215938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NVDA — BS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FY2022</t>
        </is>
      </c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</row>
    <row r="5">
      <c r="A5" s="3" t="inlineStr">
        <is>
          <t>Ordinary Shares Number</t>
        </is>
      </c>
      <c r="C5" s="25" t="n">
        <v>24661.36572</v>
      </c>
      <c r="D5" s="25" t="n">
        <v>24640</v>
      </c>
      <c r="E5" s="25" t="n">
        <v>24477</v>
      </c>
      <c r="F5" s="25" t="n">
        <v>24304</v>
      </c>
    </row>
    <row r="6">
      <c r="A6" s="3" t="inlineStr">
        <is>
          <t>Share Issued</t>
        </is>
      </c>
      <c r="C6" s="25" t="n">
        <v>24661.36572</v>
      </c>
      <c r="D6" s="25" t="n">
        <v>24640</v>
      </c>
      <c r="E6" s="25" t="n">
        <v>24477</v>
      </c>
      <c r="F6" s="25" t="n">
        <v>24304</v>
      </c>
    </row>
    <row r="7">
      <c r="A7" s="3" t="inlineStr">
        <is>
          <t>Net Debt</t>
        </is>
      </c>
      <c r="B7" s="25" t="n">
        <v>8956</v>
      </c>
      <c r="C7" s="25" t="n">
        <v>7564</v>
      </c>
      <c r="D7" s="25" t="n">
        <v>2429</v>
      </c>
    </row>
    <row r="8">
      <c r="A8" s="3" t="inlineStr">
        <is>
          <t>Total Debt</t>
        </is>
      </c>
      <c r="C8" s="25" t="n">
        <v>12031</v>
      </c>
      <c r="D8" s="25" t="n">
        <v>11056</v>
      </c>
      <c r="E8" s="25" t="n">
        <v>9982</v>
      </c>
      <c r="F8" s="25" t="n">
        <v>11040</v>
      </c>
    </row>
    <row r="9">
      <c r="A9" s="3" t="inlineStr">
        <is>
          <t>Tangible Book Value</t>
        </is>
      </c>
      <c r="C9" s="25" t="n">
        <v>16053</v>
      </c>
      <c r="D9" s="25" t="n">
        <v>37436</v>
      </c>
      <c r="E9" s="25" t="n">
        <v>73332</v>
      </c>
      <c r="F9" s="25" t="n">
        <v>133155</v>
      </c>
    </row>
    <row r="10">
      <c r="A10" s="3" t="inlineStr">
        <is>
          <t>Invested Capital</t>
        </is>
      </c>
      <c r="C10" s="25" t="n">
        <v>33054</v>
      </c>
      <c r="D10" s="25" t="n">
        <v>52687</v>
      </c>
      <c r="E10" s="25" t="n">
        <v>87790</v>
      </c>
      <c r="F10" s="25" t="n">
        <v>165761</v>
      </c>
    </row>
    <row r="11">
      <c r="A11" s="3" t="inlineStr">
        <is>
          <t>Working Capital</t>
        </is>
      </c>
      <c r="C11" s="25" t="n">
        <v>16510</v>
      </c>
      <c r="D11" s="25" t="n">
        <v>33714</v>
      </c>
      <c r="E11" s="25" t="n">
        <v>62079</v>
      </c>
      <c r="F11" s="25" t="n">
        <v>93442</v>
      </c>
    </row>
    <row r="12">
      <c r="A12" s="3" t="inlineStr">
        <is>
          <t>Net Tangible Assets</t>
        </is>
      </c>
      <c r="C12" s="25" t="n">
        <v>16053</v>
      </c>
      <c r="D12" s="25" t="n">
        <v>37436</v>
      </c>
      <c r="E12" s="25" t="n">
        <v>73332</v>
      </c>
      <c r="F12" s="25" t="n">
        <v>133155</v>
      </c>
    </row>
    <row r="13">
      <c r="A13" s="3" t="inlineStr">
        <is>
          <t>Capital Lease Obligations</t>
        </is>
      </c>
      <c r="C13" s="25" t="n">
        <v>1078</v>
      </c>
      <c r="D13" s="25" t="n">
        <v>1347</v>
      </c>
      <c r="E13" s="25" t="n">
        <v>1519</v>
      </c>
      <c r="F13" s="25" t="n">
        <v>2572</v>
      </c>
    </row>
    <row r="14">
      <c r="A14" s="3" t="inlineStr">
        <is>
          <t>Common Stock Equity</t>
        </is>
      </c>
      <c r="C14" s="25" t="n">
        <v>22101</v>
      </c>
      <c r="D14" s="25" t="n">
        <v>42978</v>
      </c>
      <c r="E14" s="25" t="n">
        <v>79327</v>
      </c>
      <c r="F14" s="25" t="n">
        <v>157293</v>
      </c>
    </row>
    <row r="15">
      <c r="A15" s="3" t="inlineStr">
        <is>
          <t>Total Capitalization</t>
        </is>
      </c>
      <c r="C15" s="25" t="n">
        <v>31804</v>
      </c>
      <c r="D15" s="25" t="n">
        <v>51437</v>
      </c>
      <c r="E15" s="25" t="n">
        <v>87790</v>
      </c>
      <c r="F15" s="25" t="n">
        <v>164762</v>
      </c>
    </row>
    <row r="16">
      <c r="A16" s="3" t="inlineStr">
        <is>
          <t>Total Equity Gross Minority Interest</t>
        </is>
      </c>
      <c r="C16" s="25" t="n">
        <v>22101</v>
      </c>
      <c r="D16" s="25" t="n">
        <v>42978</v>
      </c>
      <c r="E16" s="25" t="n">
        <v>79327</v>
      </c>
      <c r="F16" s="25" t="n">
        <v>157293</v>
      </c>
    </row>
    <row r="17">
      <c r="A17" s="3" t="inlineStr">
        <is>
          <t>Stockholders Equity</t>
        </is>
      </c>
      <c r="C17" s="25" t="n">
        <v>22101</v>
      </c>
      <c r="D17" s="25" t="n">
        <v>42978</v>
      </c>
      <c r="E17" s="25" t="n">
        <v>79327</v>
      </c>
      <c r="F17" s="25" t="n">
        <v>157293</v>
      </c>
    </row>
    <row r="18">
      <c r="A18" s="3" t="inlineStr">
        <is>
          <t>Gains Losses Not Affecting Retained Earnings</t>
        </is>
      </c>
      <c r="C18" s="25" t="n">
        <v>-43</v>
      </c>
      <c r="D18" s="25" t="n">
        <v>27</v>
      </c>
      <c r="E18" s="25" t="n">
        <v>28</v>
      </c>
      <c r="F18" s="25" t="n">
        <v>178</v>
      </c>
    </row>
    <row r="19">
      <c r="A19" s="3" t="inlineStr">
        <is>
          <t>Other Equity Adjustments</t>
        </is>
      </c>
      <c r="C19" s="25" t="n">
        <v>-43</v>
      </c>
      <c r="D19" s="25" t="n">
        <v>27</v>
      </c>
      <c r="E19" s="25" t="n">
        <v>28</v>
      </c>
      <c r="F19" s="25" t="n">
        <v>178</v>
      </c>
    </row>
    <row r="20">
      <c r="A20" s="3" t="inlineStr">
        <is>
          <t>Treasury Stock</t>
        </is>
      </c>
      <c r="B20" s="25" t="n">
        <v>0</v>
      </c>
    </row>
    <row r="21">
      <c r="A21" s="3" t="inlineStr">
        <is>
          <t>Retained Earnings</t>
        </is>
      </c>
      <c r="C21" s="25" t="n">
        <v>10171</v>
      </c>
      <c r="D21" s="25" t="n">
        <v>29817</v>
      </c>
      <c r="E21" s="25" t="n">
        <v>68038</v>
      </c>
      <c r="F21" s="25" t="n">
        <v>146973</v>
      </c>
    </row>
    <row r="22">
      <c r="A22" s="3" t="inlineStr">
        <is>
          <t>Additional Paid In Capital</t>
        </is>
      </c>
      <c r="C22" s="25" t="n">
        <v>11971</v>
      </c>
      <c r="D22" s="25" t="n">
        <v>13109</v>
      </c>
      <c r="E22" s="25" t="n">
        <v>11237</v>
      </c>
      <c r="F22" s="25" t="n">
        <v>10118</v>
      </c>
    </row>
    <row r="23">
      <c r="A23" s="3" t="inlineStr">
        <is>
          <t>Capital Stock</t>
        </is>
      </c>
      <c r="C23" s="25" t="n">
        <v>2</v>
      </c>
      <c r="D23" s="25" t="n">
        <v>25</v>
      </c>
      <c r="E23" s="25" t="n">
        <v>24</v>
      </c>
      <c r="F23" s="25" t="n">
        <v>24</v>
      </c>
    </row>
    <row r="24">
      <c r="A24" s="3" t="inlineStr">
        <is>
          <t>Common Stock</t>
        </is>
      </c>
      <c r="C24" s="25" t="n">
        <v>2</v>
      </c>
      <c r="D24" s="25" t="n">
        <v>25</v>
      </c>
      <c r="E24" s="25" t="n">
        <v>24</v>
      </c>
      <c r="F24" s="25" t="n">
        <v>24</v>
      </c>
    </row>
    <row r="25">
      <c r="A25" s="3" t="inlineStr">
        <is>
          <t>Preferred Stock</t>
        </is>
      </c>
      <c r="C25" s="25" t="n">
        <v>0</v>
      </c>
      <c r="D25" s="25" t="n">
        <v>0</v>
      </c>
      <c r="E25" s="25" t="n">
        <v>0</v>
      </c>
      <c r="F25" s="25" t="n">
        <v>0</v>
      </c>
    </row>
    <row r="26">
      <c r="A26" s="3" t="inlineStr">
        <is>
          <t>Total Liabilities Net Minority Interest</t>
        </is>
      </c>
      <c r="C26" s="25" t="n">
        <v>19081</v>
      </c>
      <c r="D26" s="25" t="n">
        <v>22750</v>
      </c>
      <c r="E26" s="25" t="n">
        <v>32274</v>
      </c>
      <c r="F26" s="25" t="n">
        <v>49510</v>
      </c>
    </row>
    <row r="27">
      <c r="A27" s="3" t="inlineStr">
        <is>
          <t>Total Non Current Liabilities Net Minority Interest</t>
        </is>
      </c>
      <c r="C27" s="25" t="n">
        <v>12518</v>
      </c>
      <c r="D27" s="25" t="n">
        <v>12119</v>
      </c>
      <c r="E27" s="25" t="n">
        <v>14227</v>
      </c>
      <c r="F27" s="25" t="n">
        <v>17347</v>
      </c>
    </row>
    <row r="28">
      <c r="A28" s="3" t="inlineStr">
        <is>
          <t>Other Non Current Liabilities</t>
        </is>
      </c>
      <c r="C28" s="25" t="n">
        <v>63</v>
      </c>
      <c r="D28" s="25" t="n">
        <v>65</v>
      </c>
      <c r="E28" s="25" t="n">
        <v>195</v>
      </c>
      <c r="F28" s="25" t="n">
        <v>381</v>
      </c>
    </row>
    <row r="29">
      <c r="A29" s="3" t="inlineStr">
        <is>
          <t>Tradeand Other Payables Non Current</t>
        </is>
      </c>
      <c r="C29" s="25" t="n">
        <v>1385</v>
      </c>
      <c r="D29" s="25" t="n">
        <v>1441</v>
      </c>
      <c r="E29" s="25" t="n">
        <v>2188</v>
      </c>
      <c r="F29" s="25" t="n">
        <v>3958</v>
      </c>
    </row>
    <row r="30">
      <c r="A30" s="3" t="inlineStr">
        <is>
          <t>Non Current Deferred Liabilities</t>
        </is>
      </c>
      <c r="C30" s="25" t="n">
        <v>465</v>
      </c>
      <c r="D30" s="25" t="n">
        <v>1035</v>
      </c>
      <c r="E30" s="25" t="n">
        <v>1862</v>
      </c>
      <c r="F30" s="25" t="n">
        <v>2967</v>
      </c>
    </row>
    <row r="31">
      <c r="A31" s="3" t="inlineStr">
        <is>
          <t>Non Current Deferred Revenue</t>
        </is>
      </c>
      <c r="C31" s="25" t="n">
        <v>218</v>
      </c>
      <c r="D31" s="25" t="n">
        <v>573</v>
      </c>
      <c r="E31" s="25" t="n">
        <v>976</v>
      </c>
      <c r="F31" s="25" t="n">
        <v>1193</v>
      </c>
    </row>
    <row r="32">
      <c r="A32" s="3" t="inlineStr">
        <is>
          <t>Non Current Deferred Taxes Liabilities</t>
        </is>
      </c>
      <c r="C32" s="25" t="n">
        <v>247</v>
      </c>
      <c r="D32" s="25" t="n">
        <v>462</v>
      </c>
      <c r="E32" s="25" t="n">
        <v>886</v>
      </c>
      <c r="F32" s="25" t="n">
        <v>1774</v>
      </c>
    </row>
    <row r="33">
      <c r="A33" s="3" t="inlineStr">
        <is>
          <t>Long Term Debt And Capital Lease Obligation</t>
        </is>
      </c>
      <c r="C33" s="25" t="n">
        <v>10605</v>
      </c>
      <c r="D33" s="25" t="n">
        <v>9578</v>
      </c>
      <c r="E33" s="25" t="n">
        <v>9982</v>
      </c>
      <c r="F33" s="25" t="n">
        <v>10041</v>
      </c>
    </row>
    <row r="34">
      <c r="A34" s="3" t="inlineStr">
        <is>
          <t>Long Term Capital Lease Obligation</t>
        </is>
      </c>
      <c r="C34" s="25" t="n">
        <v>902</v>
      </c>
      <c r="D34" s="25" t="n">
        <v>1119</v>
      </c>
      <c r="E34" s="25" t="n">
        <v>1519</v>
      </c>
      <c r="F34" s="25" t="n">
        <v>2572</v>
      </c>
    </row>
    <row r="35">
      <c r="A35" s="3" t="inlineStr">
        <is>
          <t>Long Term Debt</t>
        </is>
      </c>
      <c r="C35" s="25" t="n">
        <v>9703</v>
      </c>
      <c r="D35" s="25" t="n">
        <v>8459</v>
      </c>
      <c r="E35" s="25" t="n">
        <v>8463</v>
      </c>
      <c r="F35" s="25" t="n">
        <v>7469</v>
      </c>
    </row>
    <row r="36">
      <c r="A36" s="3" t="inlineStr">
        <is>
          <t>Current Liabilities</t>
        </is>
      </c>
      <c r="C36" s="25" t="n">
        <v>6563</v>
      </c>
      <c r="D36" s="25" t="n">
        <v>10631</v>
      </c>
      <c r="E36" s="25" t="n">
        <v>18047</v>
      </c>
      <c r="F36" s="25" t="n">
        <v>32163</v>
      </c>
    </row>
    <row r="37">
      <c r="A37" s="3" t="inlineStr">
        <is>
          <t>Other Current Liabilities</t>
        </is>
      </c>
      <c r="C37" s="25" t="n">
        <v>69</v>
      </c>
      <c r="D37" s="25" t="n">
        <v>199</v>
      </c>
      <c r="E37" s="25" t="n">
        <v>897</v>
      </c>
      <c r="F37" s="25" t="n">
        <v>1373</v>
      </c>
    </row>
    <row r="38">
      <c r="A38" s="3" t="inlineStr">
        <is>
          <t>Current Deferred Liabilities</t>
        </is>
      </c>
      <c r="C38" s="25" t="n">
        <v>354</v>
      </c>
      <c r="D38" s="25" t="n">
        <v>764</v>
      </c>
      <c r="E38" s="25" t="n">
        <v>837</v>
      </c>
      <c r="F38" s="25" t="n">
        <v>1379</v>
      </c>
    </row>
    <row r="39">
      <c r="A39" s="3" t="inlineStr">
        <is>
          <t>Current Deferred Revenue</t>
        </is>
      </c>
      <c r="C39" s="25" t="n">
        <v>354</v>
      </c>
      <c r="D39" s="25" t="n">
        <v>764</v>
      </c>
      <c r="E39" s="25" t="n">
        <v>837</v>
      </c>
      <c r="F39" s="25" t="n">
        <v>1379</v>
      </c>
    </row>
    <row r="40">
      <c r="A40" s="3" t="inlineStr">
        <is>
          <t>Current Debt And Capital Lease Obligation</t>
        </is>
      </c>
      <c r="C40" s="25" t="n">
        <v>1426</v>
      </c>
      <c r="D40" s="25" t="n">
        <v>1478</v>
      </c>
      <c r="E40" s="25" t="n">
        <v>288</v>
      </c>
      <c r="F40" s="25" t="n">
        <v>999</v>
      </c>
    </row>
    <row r="41">
      <c r="A41" s="3" t="inlineStr">
        <is>
          <t>Current Capital Lease Obligation</t>
        </is>
      </c>
      <c r="B41" s="25" t="n">
        <v>144</v>
      </c>
      <c r="C41" s="25" t="n">
        <v>176</v>
      </c>
      <c r="D41" s="25" t="n">
        <v>228</v>
      </c>
      <c r="E41" s="25" t="n">
        <v>288</v>
      </c>
    </row>
    <row r="42">
      <c r="A42" s="3" t="inlineStr">
        <is>
          <t>Current Debt</t>
        </is>
      </c>
      <c r="C42" s="25" t="n">
        <v>1250</v>
      </c>
      <c r="D42" s="25" t="n">
        <v>1250</v>
      </c>
      <c r="F42" s="25" t="n">
        <v>999</v>
      </c>
    </row>
    <row r="43">
      <c r="A43" s="3" t="inlineStr">
        <is>
          <t>Other Current Borrowings</t>
        </is>
      </c>
      <c r="C43" s="25" t="n">
        <v>1250</v>
      </c>
      <c r="D43" s="25" t="n">
        <v>1250</v>
      </c>
      <c r="F43" s="25" t="n">
        <v>999</v>
      </c>
    </row>
    <row r="44">
      <c r="A44" s="3" t="inlineStr">
        <is>
          <t>Current Provisions</t>
        </is>
      </c>
      <c r="C44" s="25" t="n">
        <v>108</v>
      </c>
      <c r="D44" s="25" t="n">
        <v>415</v>
      </c>
      <c r="E44" s="25" t="n">
        <v>1290</v>
      </c>
      <c r="F44" s="25" t="n">
        <v>2807</v>
      </c>
    </row>
    <row r="45">
      <c r="A45" s="3" t="inlineStr">
        <is>
          <t>Payables And Accrued Expenses</t>
        </is>
      </c>
      <c r="C45" s="25" t="n">
        <v>4606</v>
      </c>
      <c r="D45" s="25" t="n">
        <v>7775</v>
      </c>
      <c r="E45" s="25" t="n">
        <v>15023</v>
      </c>
      <c r="F45" s="25" t="n">
        <v>25605</v>
      </c>
    </row>
    <row r="46">
      <c r="A46" s="3" t="inlineStr">
        <is>
          <t>Current Accrued Expenses</t>
        </is>
      </c>
      <c r="C46" s="25" t="n">
        <v>2946</v>
      </c>
      <c r="D46" s="25" t="n">
        <v>4780</v>
      </c>
      <c r="E46" s="25" t="n">
        <v>7832</v>
      </c>
      <c r="F46" s="25" t="n">
        <v>13124</v>
      </c>
    </row>
    <row r="47">
      <c r="A47" s="3" t="inlineStr">
        <is>
          <t>Payables</t>
        </is>
      </c>
      <c r="C47" s="25" t="n">
        <v>1660</v>
      </c>
      <c r="D47" s="25" t="n">
        <v>2995</v>
      </c>
      <c r="E47" s="25" t="n">
        <v>7191</v>
      </c>
      <c r="F47" s="25" t="n">
        <v>12481</v>
      </c>
    </row>
    <row r="48">
      <c r="A48" s="3" t="inlineStr">
        <is>
          <t>Total Tax Payable</t>
        </is>
      </c>
      <c r="C48" s="25" t="n">
        <v>467</v>
      </c>
      <c r="D48" s="25" t="n">
        <v>296</v>
      </c>
      <c r="E48" s="25" t="n">
        <v>881</v>
      </c>
      <c r="F48" s="25" t="n">
        <v>2669</v>
      </c>
    </row>
    <row r="49">
      <c r="A49" s="3" t="inlineStr">
        <is>
          <t>Accounts Payable</t>
        </is>
      </c>
      <c r="C49" s="25" t="n">
        <v>1193</v>
      </c>
      <c r="D49" s="25" t="n">
        <v>2699</v>
      </c>
      <c r="E49" s="25" t="n">
        <v>6310</v>
      </c>
      <c r="F49" s="25" t="n">
        <v>9812</v>
      </c>
    </row>
    <row r="50">
      <c r="A50" s="3" t="inlineStr">
        <is>
          <t>Total Assets</t>
        </is>
      </c>
      <c r="C50" s="25" t="n">
        <v>41182</v>
      </c>
      <c r="D50" s="25" t="n">
        <v>65728</v>
      </c>
      <c r="E50" s="25" t="n">
        <v>111601</v>
      </c>
      <c r="F50" s="25" t="n">
        <v>206803</v>
      </c>
    </row>
    <row r="51">
      <c r="A51" s="3" t="inlineStr">
        <is>
          <t>Total Non Current Assets</t>
        </is>
      </c>
      <c r="C51" s="25" t="n">
        <v>18109</v>
      </c>
      <c r="D51" s="25" t="n">
        <v>21383</v>
      </c>
      <c r="E51" s="25" t="n">
        <v>31475</v>
      </c>
      <c r="F51" s="25" t="n">
        <v>81198</v>
      </c>
    </row>
    <row r="52">
      <c r="A52" s="3" t="inlineStr">
        <is>
          <t>Other Non Current Assets</t>
        </is>
      </c>
      <c r="C52" s="25" t="n">
        <v>145</v>
      </c>
      <c r="D52" s="25" t="n">
        <v>357</v>
      </c>
      <c r="E52" s="25" t="n">
        <v>3038</v>
      </c>
      <c r="F52" s="25" t="n">
        <v>8301</v>
      </c>
    </row>
    <row r="53">
      <c r="A53" s="3" t="inlineStr">
        <is>
          <t>Non Current Prepaid Assets</t>
        </is>
      </c>
      <c r="B53" s="25" t="n">
        <v>3509</v>
      </c>
      <c r="C53" s="25" t="n">
        <v>3376</v>
      </c>
      <c r="D53" s="25" t="n">
        <v>2822</v>
      </c>
      <c r="E53" s="25" t="n">
        <v>2087</v>
      </c>
    </row>
    <row r="54">
      <c r="A54" s="3" t="inlineStr">
        <is>
          <t>Non Current Deferred Assets</t>
        </is>
      </c>
      <c r="C54" s="25" t="n">
        <v>3396</v>
      </c>
      <c r="D54" s="25" t="n">
        <v>6081</v>
      </c>
      <c r="E54" s="25" t="n">
        <v>10979</v>
      </c>
      <c r="F54" s="25" t="n">
        <v>13258</v>
      </c>
    </row>
    <row r="55">
      <c r="A55" s="3" t="inlineStr">
        <is>
          <t>Non Current Deferred Taxes Assets</t>
        </is>
      </c>
      <c r="C55" s="25" t="n">
        <v>3396</v>
      </c>
      <c r="D55" s="25" t="n">
        <v>6081</v>
      </c>
      <c r="E55" s="25" t="n">
        <v>10979</v>
      </c>
      <c r="F55" s="25" t="n">
        <v>13258</v>
      </c>
    </row>
    <row r="56">
      <c r="A56" s="3" t="inlineStr">
        <is>
          <t>Non Current Accounts Receivable</t>
        </is>
      </c>
      <c r="E56" s="25" t="n">
        <v>750</v>
      </c>
    </row>
    <row r="57">
      <c r="A57" s="3" t="inlineStr">
        <is>
          <t>Investments And Advances</t>
        </is>
      </c>
      <c r="C57" s="25" t="n">
        <v>299</v>
      </c>
      <c r="D57" s="25" t="n">
        <v>1321</v>
      </c>
      <c r="E57" s="25" t="n">
        <v>3387</v>
      </c>
      <c r="F57" s="25" t="n">
        <v>22251</v>
      </c>
    </row>
    <row r="58">
      <c r="A58" s="3" t="inlineStr">
        <is>
          <t>Other Investments</t>
        </is>
      </c>
      <c r="B58" s="25" t="n">
        <v>266</v>
      </c>
      <c r="C58" s="25" t="n">
        <v>299</v>
      </c>
      <c r="D58" s="25" t="n">
        <v>1546</v>
      </c>
    </row>
    <row r="59">
      <c r="A59" s="3" t="inlineStr">
        <is>
          <t>Investmentin Financial Assets</t>
        </is>
      </c>
      <c r="D59" s="25" t="n">
        <v>1321</v>
      </c>
      <c r="E59" s="25" t="n">
        <v>3387</v>
      </c>
      <c r="F59" s="25" t="n">
        <v>22251</v>
      </c>
    </row>
    <row r="60">
      <c r="A60" s="3" t="inlineStr">
        <is>
          <t>Available For Sale Securities</t>
        </is>
      </c>
      <c r="D60" s="25" t="n">
        <v>1321</v>
      </c>
      <c r="E60" s="25" t="n">
        <v>3387</v>
      </c>
      <c r="F60" s="25" t="n">
        <v>22251</v>
      </c>
    </row>
    <row r="61">
      <c r="A61" s="3" t="inlineStr">
        <is>
          <t>Goodwill And Other Intangible Assets</t>
        </is>
      </c>
      <c r="C61" s="25" t="n">
        <v>6048</v>
      </c>
      <c r="D61" s="25" t="n">
        <v>5542</v>
      </c>
      <c r="E61" s="25" t="n">
        <v>5995</v>
      </c>
      <c r="F61" s="25" t="n">
        <v>24138</v>
      </c>
    </row>
    <row r="62">
      <c r="A62" s="3" t="inlineStr">
        <is>
          <t>Other Intangible Assets</t>
        </is>
      </c>
      <c r="C62" s="25" t="n">
        <v>1676</v>
      </c>
      <c r="D62" s="25" t="n">
        <v>1112</v>
      </c>
      <c r="E62" s="25" t="n">
        <v>807</v>
      </c>
      <c r="F62" s="25" t="n">
        <v>3306</v>
      </c>
    </row>
    <row r="63">
      <c r="A63" s="3" t="inlineStr">
        <is>
          <t>Goodwill</t>
        </is>
      </c>
      <c r="C63" s="25" t="n">
        <v>4372</v>
      </c>
      <c r="D63" s="25" t="n">
        <v>4430</v>
      </c>
      <c r="E63" s="25" t="n">
        <v>5188</v>
      </c>
      <c r="F63" s="25" t="n">
        <v>20832</v>
      </c>
    </row>
    <row r="64">
      <c r="A64" s="3" t="inlineStr">
        <is>
          <t>Net PPE</t>
        </is>
      </c>
      <c r="C64" s="25" t="n">
        <v>4845</v>
      </c>
      <c r="D64" s="25" t="n">
        <v>5260</v>
      </c>
      <c r="E64" s="25" t="n">
        <v>8076</v>
      </c>
      <c r="F64" s="25" t="n">
        <v>13250</v>
      </c>
    </row>
    <row r="65">
      <c r="A65" s="3" t="inlineStr">
        <is>
          <t>Accumulated Depreciation</t>
        </is>
      </c>
      <c r="C65" s="25" t="n">
        <v>-2694</v>
      </c>
      <c r="D65" s="25" t="n">
        <v>-3509</v>
      </c>
      <c r="E65" s="25" t="n">
        <v>-4401</v>
      </c>
      <c r="F65" s="25" t="n">
        <v>-6587</v>
      </c>
    </row>
    <row r="66">
      <c r="A66" s="3" t="inlineStr">
        <is>
          <t>Gross PPE</t>
        </is>
      </c>
      <c r="C66" s="25" t="n">
        <v>7539</v>
      </c>
      <c r="D66" s="25" t="n">
        <v>8769</v>
      </c>
      <c r="E66" s="25" t="n">
        <v>12477</v>
      </c>
      <c r="F66" s="25" t="n">
        <v>19837</v>
      </c>
    </row>
    <row r="67">
      <c r="A67" s="3" t="inlineStr">
        <is>
          <t>Construction In Progress</t>
        </is>
      </c>
      <c r="C67" s="25" t="n">
        <v>382</v>
      </c>
      <c r="D67" s="25" t="n">
        <v>189</v>
      </c>
      <c r="E67" s="25" t="n">
        <v>529</v>
      </c>
      <c r="F67" s="25" t="n">
        <v>683</v>
      </c>
    </row>
    <row r="68">
      <c r="A68" s="3" t="inlineStr">
        <is>
          <t>Other Properties</t>
        </is>
      </c>
      <c r="C68" s="25" t="n">
        <v>1038</v>
      </c>
      <c r="D68" s="25" t="n">
        <v>1346</v>
      </c>
      <c r="E68" s="25" t="n">
        <v>1793</v>
      </c>
      <c r="F68" s="25" t="n">
        <v>2867</v>
      </c>
    </row>
    <row r="69">
      <c r="A69" s="3" t="inlineStr">
        <is>
          <t>Machinery Furniture Equipment</t>
        </is>
      </c>
      <c r="C69" s="25" t="n">
        <v>4303</v>
      </c>
      <c r="D69" s="25" t="n">
        <v>5200</v>
      </c>
      <c r="E69" s="25" t="n">
        <v>7568</v>
      </c>
      <c r="F69" s="25" t="n">
        <v>12619</v>
      </c>
    </row>
    <row r="70">
      <c r="A70" s="3" t="inlineStr">
        <is>
          <t>Buildings And Improvements</t>
        </is>
      </c>
      <c r="C70" s="25" t="n">
        <v>1598</v>
      </c>
      <c r="D70" s="25" t="n">
        <v>1816</v>
      </c>
      <c r="E70" s="25" t="n">
        <v>2076</v>
      </c>
      <c r="F70" s="25" t="n">
        <v>2891</v>
      </c>
    </row>
    <row r="71">
      <c r="A71" s="3" t="inlineStr">
        <is>
          <t>Land And Improvements</t>
        </is>
      </c>
      <c r="C71" s="25" t="n">
        <v>218</v>
      </c>
      <c r="D71" s="25" t="n">
        <v>218</v>
      </c>
      <c r="E71" s="25" t="n">
        <v>511</v>
      </c>
      <c r="F71" s="25" t="n">
        <v>777</v>
      </c>
    </row>
    <row r="72">
      <c r="A72" s="3" t="inlineStr">
        <is>
          <t>Properties</t>
        </is>
      </c>
      <c r="C72" s="25" t="n">
        <v>0</v>
      </c>
      <c r="D72" s="25" t="n">
        <v>0</v>
      </c>
      <c r="E72" s="25" t="n">
        <v>0</v>
      </c>
      <c r="F72" s="25" t="n">
        <v>0</v>
      </c>
    </row>
    <row r="73">
      <c r="A73" s="3" t="inlineStr">
        <is>
          <t>Current Assets</t>
        </is>
      </c>
      <c r="C73" s="25" t="n">
        <v>23073</v>
      </c>
      <c r="D73" s="25" t="n">
        <v>44345</v>
      </c>
      <c r="E73" s="25" t="n">
        <v>80126</v>
      </c>
      <c r="F73" s="25" t="n">
        <v>125605</v>
      </c>
    </row>
    <row r="74">
      <c r="A74" s="3" t="inlineStr">
        <is>
          <t>Other Current Assets</t>
        </is>
      </c>
      <c r="C74" s="25" t="n">
        <v>791</v>
      </c>
      <c r="D74" s="25" t="n">
        <v>3080</v>
      </c>
      <c r="E74" s="25" t="n">
        <v>3771</v>
      </c>
      <c r="F74" s="25" t="n">
        <v>3180</v>
      </c>
    </row>
    <row r="75">
      <c r="A75" s="3" t="inlineStr">
        <is>
          <t>Prepaid Assets</t>
        </is>
      </c>
      <c r="B75" s="25" t="n">
        <v>366</v>
      </c>
    </row>
    <row r="76">
      <c r="A76" s="3" t="inlineStr">
        <is>
          <t>Inventory</t>
        </is>
      </c>
      <c r="C76" s="25" t="n">
        <v>5159</v>
      </c>
      <c r="D76" s="25" t="n">
        <v>5282</v>
      </c>
      <c r="E76" s="25" t="n">
        <v>10080</v>
      </c>
      <c r="F76" s="25" t="n">
        <v>21403</v>
      </c>
    </row>
    <row r="77">
      <c r="A77" s="3" t="inlineStr">
        <is>
          <t>Finished Goods</t>
        </is>
      </c>
      <c r="C77" s="25" t="n">
        <v>2263</v>
      </c>
      <c r="D77" s="25" t="n">
        <v>2058</v>
      </c>
      <c r="E77" s="25" t="n">
        <v>3273</v>
      </c>
      <c r="F77" s="25" t="n">
        <v>8774</v>
      </c>
    </row>
    <row r="78">
      <c r="A78" s="3" t="inlineStr">
        <is>
          <t>Work In Process</t>
        </is>
      </c>
      <c r="C78" s="25" t="n">
        <v>466</v>
      </c>
      <c r="D78" s="25" t="n">
        <v>1505</v>
      </c>
      <c r="E78" s="25" t="n">
        <v>3399</v>
      </c>
      <c r="F78" s="25" t="n">
        <v>8822</v>
      </c>
    </row>
    <row r="79">
      <c r="A79" s="3" t="inlineStr">
        <is>
          <t>Raw Materials</t>
        </is>
      </c>
      <c r="C79" s="25" t="n">
        <v>2430</v>
      </c>
      <c r="D79" s="25" t="n">
        <v>1719</v>
      </c>
      <c r="E79" s="25" t="n">
        <v>3408</v>
      </c>
      <c r="F79" s="25" t="n">
        <v>3807</v>
      </c>
    </row>
    <row r="80">
      <c r="A80" s="3" t="inlineStr">
        <is>
          <t>Receivables</t>
        </is>
      </c>
      <c r="C80" s="25" t="n">
        <v>3827</v>
      </c>
      <c r="D80" s="25" t="n">
        <v>9999</v>
      </c>
      <c r="E80" s="25" t="n">
        <v>23065</v>
      </c>
      <c r="F80" s="25" t="n">
        <v>38466</v>
      </c>
    </row>
    <row r="81">
      <c r="A81" s="3" t="inlineStr">
        <is>
          <t>Accounts Receivable</t>
        </is>
      </c>
      <c r="C81" s="25" t="n">
        <v>3827</v>
      </c>
      <c r="D81" s="25" t="n">
        <v>9999</v>
      </c>
      <c r="E81" s="25" t="n">
        <v>23065</v>
      </c>
      <c r="F81" s="25" t="n">
        <v>38466</v>
      </c>
    </row>
    <row r="82">
      <c r="A82" s="3" t="inlineStr">
        <is>
          <t>Cash Cash Equivalents And Short Term Investments</t>
        </is>
      </c>
      <c r="C82" s="25" t="n">
        <v>13296</v>
      </c>
      <c r="D82" s="25" t="n">
        <v>25984</v>
      </c>
      <c r="E82" s="25" t="n">
        <v>43210</v>
      </c>
      <c r="F82" s="25" t="n">
        <v>62556</v>
      </c>
    </row>
    <row r="83">
      <c r="A83" s="3" t="inlineStr">
        <is>
          <t>Other Short Term Investments</t>
        </is>
      </c>
      <c r="C83" s="25" t="n">
        <v>9907</v>
      </c>
      <c r="D83" s="25" t="n">
        <v>18704</v>
      </c>
      <c r="E83" s="25" t="n">
        <v>34621</v>
      </c>
      <c r="F83" s="25" t="n">
        <v>51951</v>
      </c>
    </row>
    <row r="84">
      <c r="A84" s="3" t="inlineStr">
        <is>
          <t>Cash And Cash Equivalents</t>
        </is>
      </c>
      <c r="C84" s="25" t="n">
        <v>3389</v>
      </c>
      <c r="D84" s="25" t="n">
        <v>7280</v>
      </c>
      <c r="E84" s="25" t="n">
        <v>8589</v>
      </c>
      <c r="F84" s="25" t="n">
        <v>10605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NVDA — CF (reported)</t>
        </is>
      </c>
    </row>
    <row r="2">
      <c r="A2" s="2" t="inlineStr">
        <is>
          <t>As reported by Yahoo snapshot as of 2026-07-08 (USDmm). Hardcoded actuals.</t>
        </is>
      </c>
    </row>
    <row r="4">
      <c r="A4" s="9" t="inlineStr">
        <is>
          <t>Line item</t>
        </is>
      </c>
      <c r="B4" s="10" t="inlineStr">
        <is>
          <t>FY2022</t>
        </is>
      </c>
      <c r="C4" s="10" t="inlineStr">
        <is>
          <t>FY2023</t>
        </is>
      </c>
      <c r="D4" s="10" t="inlineStr">
        <is>
          <t>FY2024</t>
        </is>
      </c>
      <c r="E4" s="10" t="inlineStr">
        <is>
          <t>FY2025</t>
        </is>
      </c>
      <c r="F4" s="10" t="inlineStr">
        <is>
          <t>FY2026</t>
        </is>
      </c>
    </row>
    <row r="5">
      <c r="A5" s="3" t="inlineStr">
        <is>
          <t>Free Cash Flow</t>
        </is>
      </c>
      <c r="C5" s="25" t="n">
        <v>3808</v>
      </c>
      <c r="D5" s="25" t="n">
        <v>27021</v>
      </c>
      <c r="E5" s="25" t="n">
        <v>60853</v>
      </c>
      <c r="F5" s="25" t="n">
        <v>96676</v>
      </c>
    </row>
    <row r="6">
      <c r="A6" s="3" t="inlineStr">
        <is>
          <t>Repurchase Of Capital Stock</t>
        </is>
      </c>
      <c r="C6" s="25" t="n">
        <v>-10039</v>
      </c>
      <c r="D6" s="25" t="n">
        <v>-9533</v>
      </c>
      <c r="E6" s="25" t="n">
        <v>-33706</v>
      </c>
      <c r="F6" s="25" t="n">
        <v>-40086</v>
      </c>
    </row>
    <row r="7">
      <c r="A7" s="3" t="inlineStr">
        <is>
          <t>Repayment Of Debt</t>
        </is>
      </c>
      <c r="C7" s="25" t="n">
        <v>0</v>
      </c>
      <c r="D7" s="25" t="n">
        <v>-1250</v>
      </c>
      <c r="E7" s="25" t="n">
        <v>-1250</v>
      </c>
      <c r="F7" s="25" t="n">
        <v>0</v>
      </c>
    </row>
    <row r="8">
      <c r="A8" s="3" t="inlineStr">
        <is>
          <t>Issuance Of Debt</t>
        </is>
      </c>
      <c r="B8" s="25" t="n">
        <v>4977</v>
      </c>
      <c r="C8" s="25" t="n">
        <v>0</v>
      </c>
      <c r="D8" s="25" t="n">
        <v>0</v>
      </c>
    </row>
    <row r="9">
      <c r="A9" s="3" t="inlineStr">
        <is>
          <t>Capital Expenditure</t>
        </is>
      </c>
      <c r="C9" s="25" t="n">
        <v>-1833</v>
      </c>
      <c r="D9" s="25" t="n">
        <v>-1069</v>
      </c>
      <c r="E9" s="25" t="n">
        <v>-3236</v>
      </c>
      <c r="F9" s="25" t="n">
        <v>-6042</v>
      </c>
    </row>
    <row r="10">
      <c r="A10" s="3" t="inlineStr">
        <is>
          <t>Interest Paid Supplemental Data</t>
        </is>
      </c>
      <c r="B10" s="25" t="n">
        <v>246</v>
      </c>
      <c r="C10" s="25" t="n">
        <v>254</v>
      </c>
      <c r="D10" s="25" t="n">
        <v>252</v>
      </c>
      <c r="E10" s="25" t="n">
        <v>246</v>
      </c>
    </row>
    <row r="11">
      <c r="A11" s="3" t="inlineStr">
        <is>
          <t>Income Tax Paid Supplemental Data</t>
        </is>
      </c>
      <c r="C11" s="25" t="n">
        <v>1404</v>
      </c>
      <c r="D11" s="25" t="n">
        <v>6549</v>
      </c>
      <c r="E11" s="25" t="n">
        <v>15118</v>
      </c>
      <c r="F11" s="25" t="n">
        <v>20288</v>
      </c>
    </row>
    <row r="12">
      <c r="A12" s="3" t="inlineStr">
        <is>
          <t>End Cash Position</t>
        </is>
      </c>
      <c r="C12" s="25" t="n">
        <v>3389</v>
      </c>
      <c r="D12" s="25" t="n">
        <v>7280</v>
      </c>
      <c r="E12" s="25" t="n">
        <v>8589</v>
      </c>
      <c r="F12" s="25" t="n">
        <v>10605</v>
      </c>
    </row>
    <row r="13">
      <c r="A13" s="3" t="inlineStr">
        <is>
          <t>Beginning Cash Position</t>
        </is>
      </c>
      <c r="C13" s="25" t="n">
        <v>1990</v>
      </c>
      <c r="D13" s="25" t="n">
        <v>3389</v>
      </c>
      <c r="E13" s="25" t="n">
        <v>7280</v>
      </c>
      <c r="F13" s="25" t="n">
        <v>8589</v>
      </c>
    </row>
    <row r="14">
      <c r="A14" s="3" t="inlineStr">
        <is>
          <t>Changes In Cash</t>
        </is>
      </c>
      <c r="C14" s="25" t="n">
        <v>1399</v>
      </c>
      <c r="D14" s="25" t="n">
        <v>3891</v>
      </c>
      <c r="E14" s="25" t="n">
        <v>1309</v>
      </c>
      <c r="F14" s="25" t="n">
        <v>2016</v>
      </c>
    </row>
    <row r="15">
      <c r="A15" s="3" t="inlineStr">
        <is>
          <t>Financing Cash Flow</t>
        </is>
      </c>
      <c r="C15" s="25" t="n">
        <v>-11617</v>
      </c>
      <c r="D15" s="25" t="n">
        <v>-13633</v>
      </c>
      <c r="E15" s="25" t="n">
        <v>-42359</v>
      </c>
      <c r="F15" s="25" t="n">
        <v>-48474</v>
      </c>
    </row>
    <row r="16">
      <c r="A16" s="3" t="inlineStr">
        <is>
          <t>Cash Flow From Continuing Financing Activities</t>
        </is>
      </c>
      <c r="C16" s="25" t="n">
        <v>-11617</v>
      </c>
      <c r="D16" s="25" t="n">
        <v>-13633</v>
      </c>
      <c r="E16" s="25" t="n">
        <v>-42359</v>
      </c>
      <c r="F16" s="25" t="n">
        <v>-48474</v>
      </c>
    </row>
    <row r="17">
      <c r="A17" s="3" t="inlineStr">
        <is>
          <t>Net Other Financing Charges</t>
        </is>
      </c>
      <c r="C17" s="25" t="n">
        <v>-1535</v>
      </c>
      <c r="D17" s="25" t="n">
        <v>-2858</v>
      </c>
      <c r="E17" s="25" t="n">
        <v>-7059</v>
      </c>
      <c r="F17" s="25" t="n">
        <v>-8058</v>
      </c>
    </row>
    <row r="18">
      <c r="A18" s="3" t="inlineStr">
        <is>
          <t>Proceeds From Stock Option Exercised</t>
        </is>
      </c>
      <c r="C18" s="25" t="n">
        <v>355</v>
      </c>
      <c r="D18" s="25" t="n">
        <v>403</v>
      </c>
      <c r="E18" s="25" t="n">
        <v>490</v>
      </c>
      <c r="F18" s="25" t="n">
        <v>644</v>
      </c>
    </row>
    <row r="19">
      <c r="A19" s="3" t="inlineStr">
        <is>
          <t>Cash Dividends Paid</t>
        </is>
      </c>
      <c r="C19" s="25" t="n">
        <v>-398</v>
      </c>
      <c r="D19" s="25" t="n">
        <v>-395</v>
      </c>
      <c r="E19" s="25" t="n">
        <v>-834</v>
      </c>
      <c r="F19" s="25" t="n">
        <v>-974</v>
      </c>
    </row>
    <row r="20">
      <c r="A20" s="3" t="inlineStr">
        <is>
          <t>Common Stock Dividend Paid</t>
        </is>
      </c>
      <c r="C20" s="25" t="n">
        <v>-398</v>
      </c>
      <c r="D20" s="25" t="n">
        <v>-395</v>
      </c>
      <c r="E20" s="25" t="n">
        <v>-834</v>
      </c>
      <c r="F20" s="25" t="n">
        <v>-974</v>
      </c>
    </row>
    <row r="21">
      <c r="A21" s="3" t="inlineStr">
        <is>
          <t>Net Common Stock Issuance</t>
        </is>
      </c>
      <c r="C21" s="25" t="n">
        <v>-10039</v>
      </c>
      <c r="D21" s="25" t="n">
        <v>-9533</v>
      </c>
      <c r="E21" s="25" t="n">
        <v>-33706</v>
      </c>
      <c r="F21" s="25" t="n">
        <v>-40086</v>
      </c>
    </row>
    <row r="22">
      <c r="A22" s="3" t="inlineStr">
        <is>
          <t>Common Stock Payments</t>
        </is>
      </c>
      <c r="C22" s="25" t="n">
        <v>-10039</v>
      </c>
      <c r="D22" s="25" t="n">
        <v>-9533</v>
      </c>
      <c r="E22" s="25" t="n">
        <v>-33706</v>
      </c>
      <c r="F22" s="25" t="n">
        <v>-40086</v>
      </c>
    </row>
    <row r="23">
      <c r="A23" s="3" t="inlineStr">
        <is>
          <t>Net Issuance Payments Of Debt</t>
        </is>
      </c>
      <c r="C23" s="25" t="n">
        <v>0</v>
      </c>
      <c r="D23" s="25" t="n">
        <v>-1250</v>
      </c>
      <c r="E23" s="25" t="n">
        <v>-1250</v>
      </c>
      <c r="F23" s="25" t="n">
        <v>0</v>
      </c>
    </row>
    <row r="24">
      <c r="A24" s="3" t="inlineStr">
        <is>
          <t>Net Long Term Debt Issuance</t>
        </is>
      </c>
      <c r="C24" s="25" t="n">
        <v>0</v>
      </c>
      <c r="D24" s="25" t="n">
        <v>-1250</v>
      </c>
      <c r="E24" s="25" t="n">
        <v>-1250</v>
      </c>
      <c r="F24" s="25" t="n">
        <v>0</v>
      </c>
    </row>
    <row r="25">
      <c r="A25" s="3" t="inlineStr">
        <is>
          <t>Long Term Debt Payments</t>
        </is>
      </c>
      <c r="C25" s="25" t="n">
        <v>0</v>
      </c>
      <c r="D25" s="25" t="n">
        <v>-1250</v>
      </c>
      <c r="E25" s="25" t="n">
        <v>-1250</v>
      </c>
      <c r="F25" s="25" t="n">
        <v>0</v>
      </c>
    </row>
    <row r="26">
      <c r="A26" s="3" t="inlineStr">
        <is>
          <t>Long Term Debt Issuance</t>
        </is>
      </c>
      <c r="B26" s="25" t="n">
        <v>4977</v>
      </c>
      <c r="C26" s="25" t="n">
        <v>0</v>
      </c>
      <c r="D26" s="25" t="n">
        <v>0</v>
      </c>
    </row>
    <row r="27">
      <c r="A27" s="3" t="inlineStr">
        <is>
          <t>Investing Cash Flow</t>
        </is>
      </c>
      <c r="C27" s="25" t="n">
        <v>7375</v>
      </c>
      <c r="D27" s="25" t="n">
        <v>-10566</v>
      </c>
      <c r="E27" s="25" t="n">
        <v>-20421</v>
      </c>
      <c r="F27" s="25" t="n">
        <v>-52228</v>
      </c>
    </row>
    <row r="28">
      <c r="A28" s="3" t="inlineStr">
        <is>
          <t>Cash Flow From Continuing Investing Activities</t>
        </is>
      </c>
      <c r="C28" s="25" t="n">
        <v>7375</v>
      </c>
      <c r="D28" s="25" t="n">
        <v>-10566</v>
      </c>
      <c r="E28" s="25" t="n">
        <v>-20421</v>
      </c>
      <c r="F28" s="25" t="n">
        <v>-52228</v>
      </c>
    </row>
    <row r="29">
      <c r="A29" s="3" t="inlineStr">
        <is>
          <t>Net Other Investing Changes</t>
        </is>
      </c>
      <c r="D29" s="25" t="n">
        <v>-124</v>
      </c>
      <c r="E29" s="25" t="n">
        <v>22</v>
      </c>
    </row>
    <row r="30">
      <c r="A30" s="3" t="inlineStr">
        <is>
          <t>Net Investment Purchase And Sale</t>
        </is>
      </c>
      <c r="C30" s="25" t="n">
        <v>9257</v>
      </c>
      <c r="D30" s="25" t="n">
        <v>-9290</v>
      </c>
      <c r="E30" s="25" t="n">
        <v>-16200</v>
      </c>
      <c r="F30" s="25" t="n">
        <v>-31651</v>
      </c>
    </row>
    <row r="31">
      <c r="A31" s="3" t="inlineStr">
        <is>
          <t>Sale Of Investment</t>
        </is>
      </c>
      <c r="C31" s="25" t="n">
        <v>21239</v>
      </c>
      <c r="D31" s="25" t="n">
        <v>9783</v>
      </c>
      <c r="E31" s="25" t="n">
        <v>11861</v>
      </c>
      <c r="F31" s="25" t="n">
        <v>26467</v>
      </c>
    </row>
    <row r="32">
      <c r="A32" s="3" t="inlineStr">
        <is>
          <t>Purchase Of Investment</t>
        </is>
      </c>
      <c r="C32" s="25" t="n">
        <v>-11982</v>
      </c>
      <c r="D32" s="25" t="n">
        <v>-19073</v>
      </c>
      <c r="E32" s="25" t="n">
        <v>-28061</v>
      </c>
      <c r="F32" s="25" t="n">
        <v>-58118</v>
      </c>
    </row>
    <row r="33">
      <c r="A33" s="3" t="inlineStr">
        <is>
          <t>Net Business Purchase And Sale</t>
        </is>
      </c>
      <c r="C33" s="25" t="n">
        <v>-49</v>
      </c>
      <c r="D33" s="25" t="n">
        <v>-83</v>
      </c>
      <c r="E33" s="25" t="n">
        <v>-1007</v>
      </c>
      <c r="F33" s="25" t="n">
        <v>-14535</v>
      </c>
    </row>
    <row r="34">
      <c r="A34" s="3" t="inlineStr">
        <is>
          <t>Purchase Of Business</t>
        </is>
      </c>
      <c r="C34" s="25" t="n">
        <v>-49</v>
      </c>
      <c r="D34" s="25" t="n">
        <v>-83</v>
      </c>
      <c r="E34" s="25" t="n">
        <v>-1007</v>
      </c>
      <c r="F34" s="25" t="n">
        <v>-14535</v>
      </c>
    </row>
    <row r="35">
      <c r="A35" s="3" t="inlineStr">
        <is>
          <t>Net PPE Purchase And Sale</t>
        </is>
      </c>
      <c r="C35" s="25" t="n">
        <v>-1833</v>
      </c>
      <c r="D35" s="25" t="n">
        <v>-1069</v>
      </c>
      <c r="E35" s="25" t="n">
        <v>-3236</v>
      </c>
      <c r="F35" s="25" t="n">
        <v>-6042</v>
      </c>
    </row>
    <row r="36">
      <c r="A36" s="3" t="inlineStr">
        <is>
          <t>Purchase Of PPE</t>
        </is>
      </c>
      <c r="C36" s="25" t="n">
        <v>-1833</v>
      </c>
      <c r="D36" s="25" t="n">
        <v>-1069</v>
      </c>
      <c r="E36" s="25" t="n">
        <v>-3236</v>
      </c>
      <c r="F36" s="25" t="n">
        <v>-6042</v>
      </c>
    </row>
    <row r="37">
      <c r="A37" s="3" t="inlineStr">
        <is>
          <t>Operating Cash Flow</t>
        </is>
      </c>
      <c r="C37" s="25" t="n">
        <v>5641</v>
      </c>
      <c r="D37" s="25" t="n">
        <v>28090</v>
      </c>
      <c r="E37" s="25" t="n">
        <v>64089</v>
      </c>
      <c r="F37" s="25" t="n">
        <v>102718</v>
      </c>
    </row>
    <row r="38">
      <c r="A38" s="3" t="inlineStr">
        <is>
          <t>Cash Flow From Continuing Operating Activities</t>
        </is>
      </c>
      <c r="C38" s="25" t="n">
        <v>5640</v>
      </c>
      <c r="D38" s="25" t="n">
        <v>28090</v>
      </c>
      <c r="E38" s="25" t="n">
        <v>64089</v>
      </c>
      <c r="F38" s="25" t="n">
        <v>102718</v>
      </c>
    </row>
    <row r="39">
      <c r="A39" s="3" t="inlineStr">
        <is>
          <t>Change In Working Capital</t>
        </is>
      </c>
      <c r="C39" s="25" t="n">
        <v>-2207</v>
      </c>
      <c r="D39" s="25" t="n">
        <v>-3722</v>
      </c>
      <c r="E39" s="25" t="n">
        <v>-9383</v>
      </c>
      <c r="F39" s="25" t="n">
        <v>-15949</v>
      </c>
    </row>
    <row r="40">
      <c r="A40" s="3" t="inlineStr">
        <is>
          <t>Change In Other Current Liabilities</t>
        </is>
      </c>
      <c r="C40" s="25" t="n">
        <v>252</v>
      </c>
      <c r="D40" s="25" t="n">
        <v>514</v>
      </c>
      <c r="E40" s="25" t="n">
        <v>1221</v>
      </c>
      <c r="F40" s="25" t="n">
        <v>1844</v>
      </c>
    </row>
    <row r="41">
      <c r="A41" s="3" t="inlineStr">
        <is>
          <t>Change In Payables And Accrued Expense</t>
        </is>
      </c>
      <c r="C41" s="25" t="n">
        <v>790</v>
      </c>
      <c r="D41" s="25" t="n">
        <v>3556</v>
      </c>
      <c r="E41" s="25" t="n">
        <v>7635</v>
      </c>
      <c r="F41" s="25" t="n">
        <v>8353</v>
      </c>
    </row>
    <row r="42">
      <c r="A42" s="3" t="inlineStr">
        <is>
          <t>Change In Accrued Expense</t>
        </is>
      </c>
      <c r="C42" s="25" t="n">
        <v>1341</v>
      </c>
      <c r="D42" s="25" t="n">
        <v>2025</v>
      </c>
      <c r="E42" s="25" t="n">
        <v>4278</v>
      </c>
      <c r="F42" s="25" t="n">
        <v>5257</v>
      </c>
    </row>
    <row r="43">
      <c r="A43" s="3" t="inlineStr">
        <is>
          <t>Change In Payable</t>
        </is>
      </c>
      <c r="C43" s="25" t="n">
        <v>-551</v>
      </c>
      <c r="D43" s="25" t="n">
        <v>1531</v>
      </c>
      <c r="E43" s="25" t="n">
        <v>3357</v>
      </c>
      <c r="F43" s="25" t="n">
        <v>3096</v>
      </c>
    </row>
    <row r="44">
      <c r="A44" s="3" t="inlineStr">
        <is>
          <t>Change In Account Payable</t>
        </is>
      </c>
      <c r="C44" s="25" t="n">
        <v>-551</v>
      </c>
      <c r="D44" s="25" t="n">
        <v>1531</v>
      </c>
      <c r="E44" s="25" t="n">
        <v>3357</v>
      </c>
      <c r="F44" s="25" t="n">
        <v>3096</v>
      </c>
    </row>
    <row r="45">
      <c r="A45" s="3" t="inlineStr">
        <is>
          <t>Change In Prepaid Assets</t>
        </is>
      </c>
      <c r="C45" s="25" t="n">
        <v>-1517</v>
      </c>
      <c r="D45" s="25" t="n">
        <v>-1522</v>
      </c>
      <c r="E45" s="25" t="n">
        <v>-395</v>
      </c>
      <c r="F45" s="25" t="n">
        <v>577</v>
      </c>
    </row>
    <row r="46">
      <c r="A46" s="3" t="inlineStr">
        <is>
          <t>Change In Inventory</t>
        </is>
      </c>
      <c r="C46" s="25" t="n">
        <v>-2554</v>
      </c>
      <c r="D46" s="25" t="n">
        <v>-98</v>
      </c>
      <c r="E46" s="25" t="n">
        <v>-4781</v>
      </c>
      <c r="F46" s="25" t="n">
        <v>-11324</v>
      </c>
    </row>
    <row r="47">
      <c r="A47" s="3" t="inlineStr">
        <is>
          <t>Change In Receivables</t>
        </is>
      </c>
      <c r="C47" s="25" t="n">
        <v>822</v>
      </c>
      <c r="D47" s="25" t="n">
        <v>-6172</v>
      </c>
      <c r="E47" s="25" t="n">
        <v>-13063</v>
      </c>
      <c r="F47" s="25" t="n">
        <v>-15399</v>
      </c>
    </row>
    <row r="48">
      <c r="A48" s="3" t="inlineStr">
        <is>
          <t>Changes In Account Receivables</t>
        </is>
      </c>
      <c r="C48" s="25" t="n">
        <v>822</v>
      </c>
      <c r="D48" s="25" t="n">
        <v>-6172</v>
      </c>
      <c r="E48" s="25" t="n">
        <v>-13063</v>
      </c>
      <c r="F48" s="25" t="n">
        <v>-15399</v>
      </c>
    </row>
    <row r="49">
      <c r="A49" s="3" t="inlineStr">
        <is>
          <t>Other Non Cash Items</t>
        </is>
      </c>
      <c r="C49" s="25" t="n">
        <v>1347</v>
      </c>
      <c r="D49" s="25" t="n">
        <v>-278</v>
      </c>
      <c r="E49" s="25" t="n">
        <v>-502</v>
      </c>
      <c r="F49" s="25" t="n">
        <v>-287</v>
      </c>
    </row>
    <row r="50">
      <c r="A50" s="3" t="inlineStr">
        <is>
          <t>Stock Based Compensation</t>
        </is>
      </c>
      <c r="C50" s="25" t="n">
        <v>2709</v>
      </c>
      <c r="D50" s="25" t="n">
        <v>3549</v>
      </c>
      <c r="E50" s="25" t="n">
        <v>4737</v>
      </c>
      <c r="F50" s="25" t="n">
        <v>6386</v>
      </c>
    </row>
    <row r="51">
      <c r="A51" s="3" t="inlineStr">
        <is>
          <t>Deferred Tax</t>
        </is>
      </c>
      <c r="C51" s="25" t="n">
        <v>-2164</v>
      </c>
      <c r="D51" s="25" t="n">
        <v>-2489</v>
      </c>
      <c r="E51" s="25" t="n">
        <v>-4477</v>
      </c>
      <c r="F51" s="25" t="n">
        <v>-1424</v>
      </c>
    </row>
    <row r="52">
      <c r="A52" s="3" t="inlineStr">
        <is>
          <t>Deferred Income Tax</t>
        </is>
      </c>
      <c r="C52" s="25" t="n">
        <v>-2164</v>
      </c>
      <c r="D52" s="25" t="n">
        <v>-2489</v>
      </c>
      <c r="E52" s="25" t="n">
        <v>-4477</v>
      </c>
      <c r="F52" s="25" t="n">
        <v>-1424</v>
      </c>
    </row>
    <row r="53">
      <c r="A53" s="3" t="inlineStr">
        <is>
          <t>Depreciation Amortization Depletion</t>
        </is>
      </c>
      <c r="C53" s="25" t="n">
        <v>1543</v>
      </c>
      <c r="D53" s="25" t="n">
        <v>1508</v>
      </c>
      <c r="E53" s="25" t="n">
        <v>1864</v>
      </c>
      <c r="F53" s="25" t="n">
        <v>2843</v>
      </c>
    </row>
    <row r="54">
      <c r="A54" s="3" t="inlineStr">
        <is>
          <t>Depreciation And Amortization</t>
        </is>
      </c>
      <c r="C54" s="25" t="n">
        <v>1543</v>
      </c>
      <c r="D54" s="25" t="n">
        <v>1508</v>
      </c>
      <c r="E54" s="25" t="n">
        <v>1864</v>
      </c>
      <c r="F54" s="25" t="n">
        <v>2843</v>
      </c>
    </row>
    <row r="55">
      <c r="A55" s="3" t="inlineStr">
        <is>
          <t>Amortization Cash Flow</t>
        </is>
      </c>
      <c r="B55" s="25" t="n">
        <v>563</v>
      </c>
      <c r="C55" s="25" t="n">
        <v>699</v>
      </c>
      <c r="D55" s="25" t="n">
        <v>614</v>
      </c>
    </row>
    <row r="56">
      <c r="A56" s="3" t="inlineStr">
        <is>
          <t>Amortization Of Intangibles</t>
        </is>
      </c>
      <c r="B56" s="25" t="n">
        <v>563</v>
      </c>
      <c r="C56" s="25" t="n">
        <v>699</v>
      </c>
      <c r="D56" s="25" t="n">
        <v>614</v>
      </c>
    </row>
    <row r="57">
      <c r="A57" s="3" t="inlineStr">
        <is>
          <t>Depreciation</t>
        </is>
      </c>
      <c r="B57" s="25" t="n">
        <v>611</v>
      </c>
      <c r="C57" s="25" t="n">
        <v>844</v>
      </c>
      <c r="D57" s="25" t="n">
        <v>894</v>
      </c>
    </row>
    <row r="58">
      <c r="A58" s="3" t="inlineStr">
        <is>
          <t>Operating Gains Losses</t>
        </is>
      </c>
      <c r="C58" s="25" t="n">
        <v>45</v>
      </c>
      <c r="D58" s="25" t="n">
        <v>-238</v>
      </c>
      <c r="E58" s="25" t="n">
        <v>-1030</v>
      </c>
      <c r="F58" s="25" t="n">
        <v>-8918</v>
      </c>
    </row>
    <row r="59">
      <c r="A59" s="3" t="inlineStr">
        <is>
          <t>Gain Loss On Investment Securities</t>
        </is>
      </c>
      <c r="C59" s="25" t="n">
        <v>45</v>
      </c>
      <c r="D59" s="25" t="n">
        <v>-238</v>
      </c>
      <c r="E59" s="25" t="n">
        <v>-1030</v>
      </c>
      <c r="F59" s="25" t="n">
        <v>-8918</v>
      </c>
    </row>
    <row r="60">
      <c r="A60" s="3" t="inlineStr">
        <is>
          <t>Net Income From Continuing Operations</t>
        </is>
      </c>
      <c r="C60" s="25" t="n">
        <v>4368</v>
      </c>
      <c r="D60" s="25" t="n">
        <v>29760</v>
      </c>
      <c r="E60" s="25" t="n">
        <v>72880</v>
      </c>
      <c r="F60" s="25" t="n">
        <v>120067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2026-10-13T10:02:52Z</dcterms:created>
  <dcterms:modified xmlns:dcterms="http://purl.org/dc/terms/" xmlns:xsi="http://www.w3.org/2001/XMLSchema-instance" xsi:type="dcterms:W3CDTF">2026-10-13T10:02:52Z</dcterms:modified>
</cp:coreProperties>
</file>