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Rheinmetall AG (RHM.DE)</t>
        </is>
      </c>
    </row>
    <row r="2">
      <c r="A2" s="2" t="inlineStr">
        <is>
          <t>Industrials · Standard (forward multiples + DCF) · generated 2026-10-13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1550.215875565009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RHM.DE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1194.4332534221</v>
      </c>
      <c r="D5" s="6" t="n">
        <v>962.8982703791496</v>
      </c>
      <c r="E5" s="6" t="n">
        <v>1464.788669750169</v>
      </c>
      <c r="F5" s="11" t="n">
        <v>0.3888888888888889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1462.24764</v>
      </c>
      <c r="D6" s="6" t="n">
        <v>1199.0430648</v>
      </c>
      <c r="E6" s="6" t="n">
        <v>1725.4522152</v>
      </c>
      <c r="F6" s="11" t="n">
        <v>0.3333333333333334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1734.051516208719</v>
      </c>
      <c r="D7" s="6" t="n">
        <v>1421.170122938522</v>
      </c>
      <c r="E7" s="6" t="n">
        <v>2046.932909478916</v>
      </c>
      <c r="F7" s="11" t="n">
        <v>0.2777777777777778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0.08036397452171318</v>
      </c>
    </row>
    <row r="12">
      <c r="A12" s="3" t="inlineStr">
        <is>
          <t>Dividends per share (12m)</t>
        </is>
      </c>
      <c r="B12" s="6" t="n">
        <v>11.5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1580.3334</v>
      </c>
    </row>
    <row r="15">
      <c r="A15" s="3" t="inlineStr">
        <is>
          <t>Street weight in target</t>
        </is>
      </c>
      <c r="B15" s="11" t="n">
        <v>0.3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962.3</v>
      </c>
    </row>
    <row r="18">
      <c r="A18" s="3" t="inlineStr">
        <is>
          <t>Engine target (incl. plausibility band)</t>
        </is>
      </c>
      <c r="B18" s="6" t="n">
        <v>1550.215875565009</v>
      </c>
    </row>
    <row r="20">
      <c r="A20" s="8" t="inlineStr">
        <is>
          <t>Guardrails</t>
        </is>
      </c>
    </row>
    <row r="21">
      <c r="A21" s="2" t="inlineStr">
        <is>
          <t>Target anchored 30% to the Street consensus (€1,580.33, 21 analysts); model-only target €1,537.31.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RHM.DE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13927.22684</v>
      </c>
      <c r="C5" s="18" t="n">
        <v>18498.29729</v>
      </c>
      <c r="D5" s="19" t="n">
        <v>21441.24550001248</v>
      </c>
      <c r="E5" s="19" t="n">
        <v>23954.36974428865</v>
      </c>
      <c r="F5" s="19" t="n">
        <v>26072.14273148187</v>
      </c>
      <c r="G5" s="19" t="n">
        <v>27860.77842736899</v>
      </c>
      <c r="H5" s="19" t="n">
        <v>29392.67795913191</v>
      </c>
      <c r="I5" s="19" t="n">
        <v>30733.53488218641</v>
      </c>
      <c r="J5" s="19" t="n">
        <v>31937.63176655471</v>
      </c>
      <c r="K5" s="19" t="n">
        <v>32736.07256071857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0.1756635366853321</v>
      </c>
      <c r="C7" s="11" t="n">
        <v>0.1853922959649627</v>
      </c>
      <c r="D7" s="11" t="n">
        <v>0.1833753295985165</v>
      </c>
      <c r="E7" s="11" t="n">
        <v>0.1813583632320703</v>
      </c>
      <c r="F7" s="11" t="n">
        <v>0.1793413968656241</v>
      </c>
      <c r="G7" s="11" t="n">
        <v>0.1773244304991779</v>
      </c>
      <c r="H7" s="11" t="n">
        <v>0.1753074641327317</v>
      </c>
      <c r="I7" s="11" t="n">
        <v>0.1732904977662854</v>
      </c>
      <c r="J7" s="11" t="n">
        <v>0.1732904977662854</v>
      </c>
      <c r="K7" s="11" t="n">
        <v>0.1732904977662854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1739.37377632434</v>
      </c>
      <c r="C9" s="18" t="n">
        <v>2472.98825979426</v>
      </c>
      <c r="D9" s="19" t="n">
        <v>2847.92005659218</v>
      </c>
      <c r="E9" s="19" t="n">
        <v>3155.811814602868</v>
      </c>
      <c r="F9" s="19" t="n">
        <v>3403.218881571124</v>
      </c>
      <c r="G9" s="19" t="n">
        <v>3600.689862295955</v>
      </c>
      <c r="H9" s="19" t="n">
        <v>3759.184190250086</v>
      </c>
      <c r="I9" s="19" t="n">
        <v>3888.357812298893</v>
      </c>
      <c r="J9" s="19" t="n">
        <v>4044.090180884677</v>
      </c>
      <c r="K9" s="19" t="n">
        <v>4147.356851253887</v>
      </c>
    </row>
    <row r="10">
      <c r="A10" s="3" t="inlineStr">
        <is>
          <t>EPS</t>
        </is>
      </c>
      <c r="B10" s="16">
        <f>B9*1000000/46668063.0</f>
        <v/>
      </c>
      <c r="C10" s="16">
        <f>C9*1000000/46668063.0</f>
        <v/>
      </c>
      <c r="D10" s="16">
        <f>D9*1000000/46668063.0</f>
        <v/>
      </c>
      <c r="E10" s="16">
        <f>E9*1000000/46668063.0</f>
        <v/>
      </c>
      <c r="F10" s="16">
        <f>F9*1000000/46668063.0</f>
        <v/>
      </c>
      <c r="G10" s="16">
        <f>G9*1000000/46668063.0</f>
        <v/>
      </c>
      <c r="H10" s="16">
        <f>H9*1000000/46668063.0</f>
        <v/>
      </c>
      <c r="I10" s="16">
        <f>I9*1000000/46668063.0</f>
        <v/>
      </c>
      <c r="J10" s="16">
        <f>J9*1000000/46668063.0</f>
        <v/>
      </c>
      <c r="K10" s="16">
        <f>K9*1000000/46668063.0</f>
        <v/>
      </c>
    </row>
    <row r="12">
      <c r="A12" s="13" t="inlineStr">
        <is>
          <t>Levered FCF (mn)</t>
        </is>
      </c>
      <c r="B12" s="20" t="n">
        <v>1490.713457104746</v>
      </c>
      <c r="C12" s="20" t="n">
        <v>2165.381424644721</v>
      </c>
      <c r="D12" s="20" t="n">
        <v>2469.41363963664</v>
      </c>
      <c r="E12" s="20" t="n">
        <v>2767.809597280882</v>
      </c>
      <c r="F12" s="20" t="n">
        <v>3026.087814528849</v>
      </c>
      <c r="G12" s="20" t="n">
        <v>3251.893670842932</v>
      </c>
      <c r="H12" s="20" t="n">
        <v>3453.050618062333</v>
      </c>
      <c r="I12" s="20" t="n">
        <v>3636.451643997653</v>
      </c>
      <c r="J12" s="20" t="n">
        <v>3855.798227774248</v>
      </c>
      <c r="K12" s="20" t="n">
        <v>4021.943856254137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RHM.DE — Assumptions &amp; Drivers</t>
        </is>
      </c>
    </row>
    <row r="2">
      <c r="A2" s="2" t="inlineStr">
        <is>
          <t>Blue cells are inputs — change them and the whole model recalculates. Source: yfinance,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(EUR)</t>
        </is>
      </c>
      <c r="B5" s="6" t="n">
        <v>962.3</v>
      </c>
    </row>
    <row r="6">
      <c r="A6" s="3" t="inlineStr">
        <is>
          <t>Diluted shares (mn)</t>
        </is>
      </c>
      <c r="B6" s="18" t="n">
        <v>46.668063</v>
      </c>
    </row>
    <row r="7">
      <c r="A7" s="3" t="inlineStr">
        <is>
          <t>Total debt (EURmm)</t>
        </is>
      </c>
      <c r="B7" s="18" t="n">
        <v>1282</v>
      </c>
    </row>
    <row r="8">
      <c r="A8" s="3" t="inlineStr">
        <is>
          <t>Cash &amp; ST investments (EURmm)</t>
        </is>
      </c>
      <c r="B8" s="18" t="n">
        <v>1691</v>
      </c>
    </row>
    <row r="9">
      <c r="A9" s="3" t="inlineStr">
        <is>
          <t>Minority interest (EURmm)</t>
        </is>
      </c>
      <c r="B9" s="18" t="n">
        <v>604</v>
      </c>
    </row>
    <row r="10">
      <c r="A10" s="3" t="inlineStr">
        <is>
          <t>Net debt (EURmm)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0.8100000000000001</v>
      </c>
    </row>
    <row r="18">
      <c r="A18" s="3" t="inlineStr">
        <is>
          <t>Pre-tax cost of debt</t>
        </is>
      </c>
      <c r="B18" s="15" t="n">
        <v>0.04899999999999999</v>
      </c>
    </row>
    <row r="19">
      <c r="A19" s="3" t="inlineStr">
        <is>
          <t>Tax rate</t>
        </is>
      </c>
      <c r="B19" s="11" t="n">
        <v>0.253649707899011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0.4018346089582285</v>
      </c>
      <c r="C26" s="11" t="n">
        <v>0.3282111006386106</v>
      </c>
      <c r="D26" s="11" t="n">
        <v>0.1590929242770583</v>
      </c>
      <c r="E26" s="11" t="n">
        <v>0.1172098068778096</v>
      </c>
      <c r="F26" s="11" t="n">
        <v>0.08840862898086305</v>
      </c>
      <c r="G26" s="11" t="n">
        <v>0.0686033255612459</v>
      </c>
      <c r="H26" s="11" t="n">
        <v>0.05498408939852341</v>
      </c>
      <c r="I26" s="11" t="n">
        <v>0.045618739637091</v>
      </c>
      <c r="J26" s="11" t="n">
        <v>0.0391786004761273</v>
      </c>
      <c r="K26" s="11" t="n">
        <v>0.025</v>
      </c>
    </row>
    <row r="27">
      <c r="A27" s="3" t="inlineStr">
        <is>
          <t>EBIT margin</t>
        </is>
      </c>
      <c r="B27" s="11" t="n">
        <v>0.1756635366853321</v>
      </c>
      <c r="C27" s="11" t="n">
        <v>0.1853922959649627</v>
      </c>
      <c r="D27" s="11" t="n">
        <v>0.1833753295985165</v>
      </c>
      <c r="E27" s="11" t="n">
        <v>0.1813583632320703</v>
      </c>
      <c r="F27" s="11" t="n">
        <v>0.1793413968656241</v>
      </c>
      <c r="G27" s="11" t="n">
        <v>0.1773244304991779</v>
      </c>
      <c r="H27" s="11" t="n">
        <v>0.1753074641327317</v>
      </c>
      <c r="I27" s="11" t="n">
        <v>0.1732904977662854</v>
      </c>
      <c r="J27" s="11" t="n">
        <v>0.1732904977662854</v>
      </c>
      <c r="K27" s="11" t="n">
        <v>0.1732904977662854</v>
      </c>
    </row>
    <row r="28">
      <c r="A28" s="3" t="inlineStr">
        <is>
          <t>D&amp;A % of revenue</t>
        </is>
      </c>
      <c r="B28" s="11" t="n">
        <v>0.04611411858994074</v>
      </c>
      <c r="C28" s="11" t="n">
        <v>0.04611411858994074</v>
      </c>
      <c r="D28" s="11" t="n">
        <v>0.04611411858994074</v>
      </c>
      <c r="E28" s="11" t="n">
        <v>0.04611411858994074</v>
      </c>
      <c r="F28" s="11" t="n">
        <v>0.04611411858994074</v>
      </c>
      <c r="G28" s="11" t="n">
        <v>0.04611411858994074</v>
      </c>
      <c r="H28" s="11" t="n">
        <v>0.04611411858994074</v>
      </c>
      <c r="I28" s="11" t="n">
        <v>0.04611411858994074</v>
      </c>
      <c r="J28" s="11" t="n">
        <v>0.04611411858994074</v>
      </c>
      <c r="K28" s="11" t="n">
        <v>0.04611411858994074</v>
      </c>
    </row>
    <row r="29">
      <c r="A29" s="3" t="inlineStr">
        <is>
          <t>Capex % of revenue</t>
        </is>
      </c>
      <c r="B29" s="11" t="n">
        <v>0.07313986078348308</v>
      </c>
      <c r="C29" s="11" t="n">
        <v>0.07064937963519995</v>
      </c>
      <c r="D29" s="11" t="n">
        <v>0.06815889848691681</v>
      </c>
      <c r="E29" s="11" t="n">
        <v>0.06566841733863367</v>
      </c>
      <c r="F29" s="11" t="n">
        <v>0.06317793619035053</v>
      </c>
      <c r="G29" s="11" t="n">
        <v>0.06068745504206739</v>
      </c>
      <c r="H29" s="11" t="n">
        <v>0.05819697389378425</v>
      </c>
      <c r="I29" s="11" t="n">
        <v>0.0557064927455011</v>
      </c>
      <c r="J29" s="11" t="n">
        <v>0.05321601159721796</v>
      </c>
      <c r="K29" s="11" t="n">
        <v>0.05072553044893482</v>
      </c>
    </row>
    <row r="30">
      <c r="A30" s="3" t="inlineStr">
        <is>
          <t>ΔNWC % of Δrevenue</t>
        </is>
      </c>
      <c r="B30" s="11" t="n">
        <v>-0.03199550725660386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(EURmm)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6410</v>
      </c>
      <c r="C5" s="25" t="n">
        <v>7176</v>
      </c>
      <c r="D5" s="25" t="n">
        <v>7715</v>
      </c>
      <c r="E5" s="25" t="n">
        <v>9935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754</v>
      </c>
      <c r="C7" s="25" t="n">
        <v>854</v>
      </c>
      <c r="D7" s="25" t="n">
        <v>1329</v>
      </c>
      <c r="E7" s="25" t="n">
        <v>1702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250</v>
      </c>
      <c r="C9" s="25" t="n">
        <v>308</v>
      </c>
      <c r="D9" s="25" t="n">
        <v>402</v>
      </c>
      <c r="E9" s="25" t="n">
        <v>501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349</v>
      </c>
      <c r="C12" s="25" t="n">
        <v>398</v>
      </c>
      <c r="D12" s="25" t="n">
        <v>732</v>
      </c>
      <c r="E12" s="25" t="n">
        <v>872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573</v>
      </c>
      <c r="C13" s="25" t="n">
        <v>197</v>
      </c>
      <c r="D13" s="25" t="n">
        <v>-434</v>
      </c>
      <c r="E13" s="25" t="n">
        <v>-713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(EURmm)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4602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(EUR/share)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0.06414852621701428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0.07164852621701429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0.07914852621701428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0.08664852621701427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0.09414852621701428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RHM.DE — IS (reported)</t>
        </is>
      </c>
    </row>
    <row r="2">
      <c r="A2" s="2" t="inlineStr">
        <is>
          <t>As reported by yfinance (EURmm). Hardcoded actuals.</t>
        </is>
      </c>
    </row>
    <row r="4">
      <c r="A4" s="9" t="inlineStr">
        <is>
          <t>Line item</t>
        </is>
      </c>
      <c r="B4" s="10" t="inlineStr">
        <is>
          <t>FY2022</t>
        </is>
      </c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</row>
    <row r="5">
      <c r="A5" s="3" t="inlineStr">
        <is>
          <t>Tax Effect Of Unusual Items</t>
        </is>
      </c>
      <c r="B5" s="25" t="n">
        <v>-3.823119777159</v>
      </c>
      <c r="C5" s="25" t="n">
        <v>-3.40490797546</v>
      </c>
      <c r="D5" s="25" t="n">
        <v>-5.335616438356</v>
      </c>
      <c r="E5" s="25" t="n">
        <v>-14.610687022901</v>
      </c>
    </row>
    <row r="6">
      <c r="A6" s="3" t="inlineStr">
        <is>
          <t>Tax Rate For Calcs</t>
        </is>
      </c>
      <c r="B6" s="25" t="n">
        <v>2.54875e-07</v>
      </c>
      <c r="C6" s="25" t="n">
        <v>2.26994e-07</v>
      </c>
      <c r="D6" s="25" t="n">
        <v>2.80822e-07</v>
      </c>
      <c r="E6" s="25" t="n">
        <v>2.51908e-07</v>
      </c>
    </row>
    <row r="7">
      <c r="A7" s="3" t="inlineStr">
        <is>
          <t>Normalized EBITDA</t>
        </is>
      </c>
      <c r="B7" s="25" t="n">
        <v>1015</v>
      </c>
      <c r="C7" s="25" t="n">
        <v>1249</v>
      </c>
      <c r="D7" s="25" t="n">
        <v>1705</v>
      </c>
      <c r="E7" s="25" t="n">
        <v>2247</v>
      </c>
    </row>
    <row r="8">
      <c r="A8" s="3" t="inlineStr">
        <is>
          <t>Total Unusual Items</t>
        </is>
      </c>
      <c r="B8" s="25" t="n">
        <v>-15</v>
      </c>
      <c r="C8" s="25" t="n">
        <v>-15</v>
      </c>
      <c r="D8" s="25" t="n">
        <v>-19</v>
      </c>
      <c r="E8" s="25" t="n">
        <v>-58</v>
      </c>
    </row>
    <row r="9">
      <c r="A9" s="3" t="inlineStr">
        <is>
          <t>Total Unusual Items Excluding Goodwill</t>
        </is>
      </c>
      <c r="B9" s="25" t="n">
        <v>-15</v>
      </c>
      <c r="C9" s="25" t="n">
        <v>-15</v>
      </c>
      <c r="D9" s="25" t="n">
        <v>-19</v>
      </c>
      <c r="E9" s="25" t="n">
        <v>-58</v>
      </c>
    </row>
    <row r="10">
      <c r="A10" s="3" t="inlineStr">
        <is>
          <t>Net Income From Continuing Operation Net Minority Interest</t>
        </is>
      </c>
      <c r="B10" s="25" t="n">
        <v>468</v>
      </c>
      <c r="C10" s="25" t="n">
        <v>579</v>
      </c>
      <c r="D10" s="25" t="n">
        <v>749</v>
      </c>
      <c r="E10" s="25" t="n">
        <v>1037</v>
      </c>
    </row>
    <row r="11">
      <c r="A11" s="3" t="inlineStr">
        <is>
          <t>Reconciled Depreciation</t>
        </is>
      </c>
      <c r="B11" s="25" t="n">
        <v>250</v>
      </c>
      <c r="C11" s="25" t="n">
        <v>308</v>
      </c>
      <c r="D11" s="25" t="n">
        <v>402</v>
      </c>
      <c r="E11" s="25" t="n">
        <v>501</v>
      </c>
    </row>
    <row r="12">
      <c r="A12" s="3" t="inlineStr">
        <is>
          <t>Reconciled Cost Of Revenue</t>
        </is>
      </c>
      <c r="B12" s="25" t="n">
        <v>3031</v>
      </c>
      <c r="C12" s="25" t="n">
        <v>3239</v>
      </c>
      <c r="D12" s="25" t="n">
        <v>3561</v>
      </c>
      <c r="E12" s="25" t="n">
        <v>4731</v>
      </c>
    </row>
    <row r="13">
      <c r="A13" s="3" t="inlineStr">
        <is>
          <t>EBITDA</t>
        </is>
      </c>
      <c r="B13" s="25" t="n">
        <v>1000</v>
      </c>
      <c r="C13" s="25" t="n">
        <v>1234</v>
      </c>
      <c r="D13" s="25" t="n">
        <v>1686</v>
      </c>
      <c r="E13" s="25" t="n">
        <v>2189</v>
      </c>
    </row>
    <row r="14">
      <c r="A14" s="3" t="inlineStr">
        <is>
          <t>EBIT</t>
        </is>
      </c>
      <c r="B14" s="25" t="n">
        <v>750</v>
      </c>
      <c r="C14" s="25" t="n">
        <v>926</v>
      </c>
      <c r="D14" s="25" t="n">
        <v>1284</v>
      </c>
      <c r="E14" s="25" t="n">
        <v>1688</v>
      </c>
    </row>
    <row r="15">
      <c r="A15" s="3" t="inlineStr">
        <is>
          <t>Net Interest Income</t>
        </is>
      </c>
      <c r="B15" s="25" t="n">
        <v>-68</v>
      </c>
      <c r="C15" s="25" t="n">
        <v>-88</v>
      </c>
      <c r="D15" s="25" t="n">
        <v>-111</v>
      </c>
      <c r="E15" s="25" t="n">
        <v>-119</v>
      </c>
    </row>
    <row r="16">
      <c r="A16" s="3" t="inlineStr">
        <is>
          <t>Interest Expense</t>
        </is>
      </c>
      <c r="B16" s="25" t="n">
        <v>32</v>
      </c>
      <c r="C16" s="25" t="n">
        <v>111</v>
      </c>
      <c r="D16" s="25" t="n">
        <v>116</v>
      </c>
      <c r="E16" s="25" t="n">
        <v>116</v>
      </c>
    </row>
    <row r="17">
      <c r="A17" s="3" t="inlineStr">
        <is>
          <t>Interest Income</t>
        </is>
      </c>
      <c r="B17" s="25" t="n">
        <v>12</v>
      </c>
      <c r="C17" s="25" t="n">
        <v>29</v>
      </c>
      <c r="D17" s="25" t="n">
        <v>14</v>
      </c>
      <c r="E17" s="25" t="n">
        <v>4</v>
      </c>
    </row>
    <row r="18">
      <c r="A18" s="3" t="inlineStr">
        <is>
          <t>Normalized Income</t>
        </is>
      </c>
      <c r="B18" s="25" t="n">
        <v>479.176880222841</v>
      </c>
      <c r="C18" s="25" t="n">
        <v>590.5950920245399</v>
      </c>
      <c r="D18" s="25" t="n">
        <v>762.6643835616439</v>
      </c>
      <c r="E18" s="25" t="n">
        <v>1080.389312977099</v>
      </c>
    </row>
    <row r="19">
      <c r="A19" s="3" t="inlineStr">
        <is>
          <t>Net Income From Continuing And Discontinued Operation</t>
        </is>
      </c>
      <c r="B19" s="25" t="n">
        <v>474</v>
      </c>
      <c r="C19" s="25" t="n">
        <v>535</v>
      </c>
      <c r="D19" s="25" t="n">
        <v>717</v>
      </c>
      <c r="E19" s="25" t="n">
        <v>696</v>
      </c>
    </row>
    <row r="20">
      <c r="A20" s="3" t="inlineStr">
        <is>
          <t>Total Expenses</t>
        </is>
      </c>
      <c r="B20" s="25" t="n">
        <v>5656</v>
      </c>
      <c r="C20" s="25" t="n">
        <v>6322</v>
      </c>
      <c r="D20" s="25" t="n">
        <v>6386</v>
      </c>
      <c r="E20" s="25" t="n">
        <v>8233</v>
      </c>
    </row>
    <row r="21">
      <c r="A21" s="3" t="inlineStr">
        <is>
          <t>Rent Expense Supplemental</t>
        </is>
      </c>
      <c r="B21" s="25" t="n">
        <v>23</v>
      </c>
      <c r="C21" s="25" t="n">
        <v>31</v>
      </c>
      <c r="D21" s="25" t="n">
        <v>21</v>
      </c>
      <c r="E21" s="25" t="n">
        <v>29</v>
      </c>
    </row>
    <row r="22">
      <c r="A22" s="3" t="inlineStr">
        <is>
          <t>Diluted Average Shares</t>
        </is>
      </c>
      <c r="B22" s="25" t="n">
        <v>43.36</v>
      </c>
      <c r="C22" s="25" t="n">
        <v>46.34</v>
      </c>
      <c r="D22" s="25" t="n">
        <v>46.66</v>
      </c>
      <c r="E22" s="25" t="n">
        <v>46.66</v>
      </c>
    </row>
    <row r="23">
      <c r="A23" s="3" t="inlineStr">
        <is>
          <t>Basic Average Shares</t>
        </is>
      </c>
      <c r="B23" s="25" t="n">
        <v>43.36</v>
      </c>
      <c r="C23" s="25" t="n">
        <v>43.41</v>
      </c>
      <c r="D23" s="25" t="n">
        <v>43.43</v>
      </c>
      <c r="E23" s="25" t="n">
        <v>45.24</v>
      </c>
    </row>
    <row r="24">
      <c r="A24" s="3" t="inlineStr">
        <is>
          <t>Diluted EPS</t>
        </is>
      </c>
      <c r="B24" s="25" t="n">
        <v>1.094e-05</v>
      </c>
      <c r="C24" s="25" t="n">
        <v>1.207e-05</v>
      </c>
      <c r="D24" s="25" t="n">
        <v>1.596e-05</v>
      </c>
      <c r="E24" s="25" t="n">
        <v>1.516e-05</v>
      </c>
    </row>
    <row r="25">
      <c r="A25" s="3" t="inlineStr">
        <is>
          <t>Basic EPS</t>
        </is>
      </c>
      <c r="B25" s="25" t="n">
        <v>1.094e-05</v>
      </c>
      <c r="C25" s="25" t="n">
        <v>1.232e-05</v>
      </c>
      <c r="D25" s="25" t="n">
        <v>1.651e-05</v>
      </c>
      <c r="E25" s="25" t="n">
        <v>1.538e-05</v>
      </c>
    </row>
    <row r="26">
      <c r="A26" s="3" t="inlineStr">
        <is>
          <t>Diluted NI Availto Com Stockholders</t>
        </is>
      </c>
      <c r="B26" s="25" t="n">
        <v>474</v>
      </c>
      <c r="C26" s="25" t="n">
        <v>535</v>
      </c>
      <c r="D26" s="25" t="n">
        <v>717</v>
      </c>
      <c r="E26" s="25" t="n">
        <v>696</v>
      </c>
    </row>
    <row r="27">
      <c r="A27" s="3" t="inlineStr">
        <is>
          <t>Net Income Common Stockholders</t>
        </is>
      </c>
      <c r="B27" s="25" t="n">
        <v>474</v>
      </c>
      <c r="C27" s="25" t="n">
        <v>535</v>
      </c>
      <c r="D27" s="25" t="n">
        <v>717</v>
      </c>
      <c r="E27" s="25" t="n">
        <v>696</v>
      </c>
    </row>
    <row r="28">
      <c r="A28" s="3" t="inlineStr">
        <is>
          <t>Otherunder Preferred Stock Dividend</t>
        </is>
      </c>
      <c r="B28" s="25" t="n">
        <v>0</v>
      </c>
      <c r="C28" s="25" t="n">
        <v>0</v>
      </c>
      <c r="D28" s="25" t="n">
        <v>0</v>
      </c>
      <c r="E28" s="25" t="n">
        <v>0</v>
      </c>
    </row>
    <row r="29">
      <c r="A29" s="3" t="inlineStr">
        <is>
          <t>Net Income</t>
        </is>
      </c>
      <c r="B29" s="25" t="n">
        <v>474</v>
      </c>
      <c r="C29" s="25" t="n">
        <v>535</v>
      </c>
      <c r="D29" s="25" t="n">
        <v>717</v>
      </c>
      <c r="E29" s="25" t="n">
        <v>696</v>
      </c>
    </row>
    <row r="30">
      <c r="A30" s="3" t="inlineStr">
        <is>
          <t>Minority Interests</t>
        </is>
      </c>
      <c r="B30" s="25" t="n">
        <v>-66</v>
      </c>
      <c r="C30" s="25" t="n">
        <v>-51</v>
      </c>
      <c r="D30" s="25" t="n">
        <v>-91</v>
      </c>
      <c r="E30" s="25" t="n">
        <v>-139</v>
      </c>
    </row>
    <row r="31">
      <c r="A31" s="3" t="inlineStr">
        <is>
          <t>Net Income Including Noncontrolling Interests</t>
        </is>
      </c>
      <c r="B31" s="25" t="n">
        <v>540</v>
      </c>
      <c r="C31" s="25" t="n">
        <v>586</v>
      </c>
      <c r="D31" s="25" t="n">
        <v>808</v>
      </c>
      <c r="E31" s="25" t="n">
        <v>835</v>
      </c>
    </row>
    <row r="32">
      <c r="A32" s="3" t="inlineStr">
        <is>
          <t>Net Income Discontinuous Operations</t>
        </is>
      </c>
      <c r="B32" s="25" t="n">
        <v>6</v>
      </c>
      <c r="C32" s="25" t="n">
        <v>-44</v>
      </c>
      <c r="D32" s="25" t="n">
        <v>-32</v>
      </c>
      <c r="E32" s="25" t="n">
        <v>-341</v>
      </c>
    </row>
    <row r="33">
      <c r="A33" s="3" t="inlineStr">
        <is>
          <t>Net Income Continuous Operations</t>
        </is>
      </c>
      <c r="B33" s="25" t="n">
        <v>534</v>
      </c>
      <c r="C33" s="25" t="n">
        <v>630</v>
      </c>
      <c r="D33" s="25" t="n">
        <v>840</v>
      </c>
      <c r="E33" s="25" t="n">
        <v>1176</v>
      </c>
    </row>
    <row r="34">
      <c r="A34" s="3" t="inlineStr">
        <is>
          <t>Tax Provision</t>
        </is>
      </c>
      <c r="B34" s="25" t="n">
        <v>183</v>
      </c>
      <c r="C34" s="25" t="n">
        <v>185</v>
      </c>
      <c r="D34" s="25" t="n">
        <v>328</v>
      </c>
      <c r="E34" s="25" t="n">
        <v>396</v>
      </c>
    </row>
    <row r="35">
      <c r="A35" s="3" t="inlineStr">
        <is>
          <t>Pretax Income</t>
        </is>
      </c>
      <c r="B35" s="25" t="n">
        <v>718</v>
      </c>
      <c r="C35" s="25" t="n">
        <v>815</v>
      </c>
      <c r="D35" s="25" t="n">
        <v>1168</v>
      </c>
      <c r="E35" s="25" t="n">
        <v>1572</v>
      </c>
    </row>
    <row r="36">
      <c r="A36" s="3" t="inlineStr">
        <is>
          <t>Other Non Operating Income Expenses</t>
        </is>
      </c>
      <c r="B36" s="25" t="n">
        <v>6</v>
      </c>
      <c r="C36" s="25" t="n">
        <v>8</v>
      </c>
      <c r="D36" s="25" t="n">
        <v>5</v>
      </c>
      <c r="E36" s="25" t="n">
        <v>4</v>
      </c>
    </row>
    <row r="37">
      <c r="A37" s="3" t="inlineStr">
        <is>
          <t>Special Income Charges</t>
        </is>
      </c>
      <c r="B37" s="25" t="n">
        <v>-15</v>
      </c>
      <c r="C37" s="25" t="n">
        <v>-15</v>
      </c>
      <c r="D37" s="25" t="n">
        <v>-19</v>
      </c>
      <c r="E37" s="25" t="n">
        <v>-58</v>
      </c>
    </row>
    <row r="38">
      <c r="A38" s="3" t="inlineStr">
        <is>
          <t>Other Special Charges</t>
        </is>
      </c>
      <c r="B38" s="25" t="n">
        <v>-8</v>
      </c>
      <c r="C38" s="25" t="n">
        <v>8</v>
      </c>
      <c r="D38" s="25" t="n">
        <v>19</v>
      </c>
      <c r="E38" s="25" t="n">
        <v>8</v>
      </c>
    </row>
    <row r="39">
      <c r="A39" s="3" t="inlineStr">
        <is>
          <t>Write Off</t>
        </is>
      </c>
      <c r="B39" s="25" t="n">
        <v>23</v>
      </c>
      <c r="C39" s="25" t="n">
        <v>7</v>
      </c>
      <c r="D39" s="25" t="n">
        <v>0</v>
      </c>
      <c r="E39" s="25" t="n">
        <v>33</v>
      </c>
    </row>
    <row r="40">
      <c r="A40" s="3" t="inlineStr">
        <is>
          <t>Impairment Of Capital Assets</t>
        </is>
      </c>
      <c r="B40" s="25" t="n">
        <v>0</v>
      </c>
      <c r="C40" s="25" t="n">
        <v>6</v>
      </c>
      <c r="D40" s="25" t="n">
        <v>0</v>
      </c>
      <c r="E40" s="25" t="n">
        <v>17</v>
      </c>
    </row>
    <row r="41">
      <c r="A41" s="3" t="inlineStr">
        <is>
          <t>Net Non Operating Interest Income Expense</t>
        </is>
      </c>
      <c r="B41" s="25" t="n">
        <v>-68</v>
      </c>
      <c r="C41" s="25" t="n">
        <v>-88</v>
      </c>
      <c r="D41" s="25" t="n">
        <v>-111</v>
      </c>
      <c r="E41" s="25" t="n">
        <v>-119</v>
      </c>
    </row>
    <row r="42">
      <c r="A42" s="3" t="inlineStr">
        <is>
          <t>Total Other Finance Cost</t>
        </is>
      </c>
      <c r="B42" s="25" t="n">
        <v>48</v>
      </c>
      <c r="C42" s="25" t="n">
        <v>6</v>
      </c>
      <c r="D42" s="25" t="n">
        <v>9</v>
      </c>
      <c r="E42" s="25" t="n">
        <v>7</v>
      </c>
    </row>
    <row r="43">
      <c r="A43" s="3" t="inlineStr">
        <is>
          <t>Interest Expense Non Operating</t>
        </is>
      </c>
      <c r="B43" s="25" t="n">
        <v>32</v>
      </c>
      <c r="C43" s="25" t="n">
        <v>111</v>
      </c>
      <c r="D43" s="25" t="n">
        <v>116</v>
      </c>
      <c r="E43" s="25" t="n">
        <v>116</v>
      </c>
    </row>
    <row r="44">
      <c r="A44" s="3" t="inlineStr">
        <is>
          <t>Interest Income Non Operating</t>
        </is>
      </c>
      <c r="B44" s="25" t="n">
        <v>12</v>
      </c>
      <c r="C44" s="25" t="n">
        <v>29</v>
      </c>
      <c r="D44" s="25" t="n">
        <v>14</v>
      </c>
      <c r="E44" s="25" t="n">
        <v>4</v>
      </c>
    </row>
    <row r="45">
      <c r="A45" s="3" t="inlineStr">
        <is>
          <t>Operating Income</t>
        </is>
      </c>
      <c r="B45" s="25" t="n">
        <v>754</v>
      </c>
      <c r="C45" s="25" t="n">
        <v>854</v>
      </c>
      <c r="D45" s="25" t="n">
        <v>1329</v>
      </c>
      <c r="E45" s="25" t="n">
        <v>1702</v>
      </c>
    </row>
    <row r="46">
      <c r="A46" s="3" t="inlineStr">
        <is>
          <t>Operating Expense</t>
        </is>
      </c>
      <c r="B46" s="25" t="n">
        <v>2625</v>
      </c>
      <c r="C46" s="25" t="n">
        <v>3083</v>
      </c>
      <c r="D46" s="25" t="n">
        <v>2825</v>
      </c>
      <c r="E46" s="25" t="n">
        <v>3502</v>
      </c>
    </row>
    <row r="47">
      <c r="A47" s="3" t="inlineStr">
        <is>
          <t>Other Operating Expenses</t>
        </is>
      </c>
      <c r="B47" s="25" t="n">
        <v>332</v>
      </c>
      <c r="C47" s="25" t="n">
        <v>452</v>
      </c>
      <c r="D47" s="25" t="n">
        <v>448</v>
      </c>
      <c r="E47" s="25" t="n">
        <v>580</v>
      </c>
    </row>
    <row r="48">
      <c r="A48" s="3" t="inlineStr">
        <is>
          <t>Depreciation And Amortization In Income Statement</t>
        </is>
      </c>
      <c r="B48" s="25" t="n">
        <v>250</v>
      </c>
      <c r="C48" s="25" t="n">
        <v>308</v>
      </c>
      <c r="D48" s="25" t="n">
        <v>283</v>
      </c>
      <c r="E48" s="25" t="n">
        <v>388</v>
      </c>
    </row>
    <row r="49">
      <c r="A49" s="3" t="inlineStr">
        <is>
          <t>Amortization</t>
        </is>
      </c>
      <c r="B49" s="25" t="n">
        <v>45</v>
      </c>
      <c r="C49" s="25" t="n">
        <v>87</v>
      </c>
      <c r="D49" s="25" t="n">
        <v>132</v>
      </c>
      <c r="E49" s="25" t="n">
        <v>168</v>
      </c>
    </row>
    <row r="50">
      <c r="A50" s="3" t="inlineStr">
        <is>
          <t>Depreciation Income Statement</t>
        </is>
      </c>
      <c r="B50" s="25" t="n">
        <v>205</v>
      </c>
      <c r="C50" s="25" t="n">
        <v>221</v>
      </c>
      <c r="D50" s="25" t="n">
        <v>151</v>
      </c>
      <c r="E50" s="25" t="n">
        <v>220</v>
      </c>
    </row>
    <row r="51">
      <c r="A51" s="3" t="inlineStr">
        <is>
          <t>Selling General And Administration</t>
        </is>
      </c>
      <c r="B51" s="25" t="n">
        <v>234</v>
      </c>
      <c r="C51" s="25" t="n">
        <v>264</v>
      </c>
      <c r="D51" s="25" t="n">
        <v>267</v>
      </c>
      <c r="E51" s="25" t="n">
        <v>319</v>
      </c>
    </row>
    <row r="52">
      <c r="A52" s="3" t="inlineStr">
        <is>
          <t>Selling And Marketing Expense</t>
        </is>
      </c>
      <c r="B52" s="25" t="n">
        <v>109</v>
      </c>
      <c r="C52" s="25" t="n">
        <v>117</v>
      </c>
      <c r="D52" s="25" t="n">
        <v>110</v>
      </c>
      <c r="E52" s="25" t="n">
        <v>133</v>
      </c>
    </row>
    <row r="53">
      <c r="A53" s="3" t="inlineStr">
        <is>
          <t>General And Administrative Expense</t>
        </is>
      </c>
      <c r="B53" s="25" t="n">
        <v>125</v>
      </c>
      <c r="C53" s="25" t="n">
        <v>147</v>
      </c>
      <c r="D53" s="25" t="n">
        <v>157</v>
      </c>
      <c r="E53" s="25" t="n">
        <v>186</v>
      </c>
    </row>
    <row r="54">
      <c r="A54" s="3" t="inlineStr">
        <is>
          <t>Rent And Landing Fees</t>
        </is>
      </c>
      <c r="B54" s="25" t="n">
        <v>23</v>
      </c>
      <c r="C54" s="25" t="n">
        <v>31</v>
      </c>
      <c r="D54" s="25" t="n">
        <v>21</v>
      </c>
      <c r="E54" s="25" t="n">
        <v>29</v>
      </c>
    </row>
    <row r="55">
      <c r="A55" s="3" t="inlineStr">
        <is>
          <t>Gross Profit</t>
        </is>
      </c>
      <c r="B55" s="25" t="n">
        <v>3379</v>
      </c>
      <c r="C55" s="25" t="n">
        <v>3937</v>
      </c>
      <c r="D55" s="25" t="n">
        <v>4154</v>
      </c>
      <c r="E55" s="25" t="n">
        <v>5204</v>
      </c>
    </row>
    <row r="56">
      <c r="A56" s="3" t="inlineStr">
        <is>
          <t>Cost Of Revenue</t>
        </is>
      </c>
      <c r="B56" s="25" t="n">
        <v>3031</v>
      </c>
      <c r="C56" s="25" t="n">
        <v>3239</v>
      </c>
      <c r="D56" s="25" t="n">
        <v>3561</v>
      </c>
      <c r="E56" s="25" t="n">
        <v>4731</v>
      </c>
    </row>
    <row r="57">
      <c r="A57" s="3" t="inlineStr">
        <is>
          <t>Total Revenue</t>
        </is>
      </c>
      <c r="B57" s="25" t="n">
        <v>6410</v>
      </c>
      <c r="C57" s="25" t="n">
        <v>7176</v>
      </c>
      <c r="D57" s="25" t="n">
        <v>7715</v>
      </c>
      <c r="E57" s="25" t="n">
        <v>9935</v>
      </c>
    </row>
    <row r="58">
      <c r="A58" s="3" t="inlineStr">
        <is>
          <t>Operating Revenue</t>
        </is>
      </c>
      <c r="B58" s="25" t="n">
        <v>6410</v>
      </c>
      <c r="C58" s="25" t="n">
        <v>7176</v>
      </c>
      <c r="D58" s="25" t="n">
        <v>7715</v>
      </c>
      <c r="E58" s="25" t="n">
        <v>9935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RHM.DE — BS (reported)</t>
        </is>
      </c>
    </row>
    <row r="2">
      <c r="A2" s="2" t="inlineStr">
        <is>
          <t>As reported by yfinance (EURmm).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C5" s="25" t="n">
        <v>0.177184</v>
      </c>
      <c r="D5" s="25" t="n">
        <v>0.141356</v>
      </c>
      <c r="E5" s="25" t="n">
        <v>0.121504</v>
      </c>
      <c r="F5" s="25" t="n">
        <v>0.121504</v>
      </c>
    </row>
    <row r="6">
      <c r="A6" s="3" t="inlineStr">
        <is>
          <t>Ordinary Shares Number</t>
        </is>
      </c>
      <c r="C6" s="25" t="n">
        <v>43.381666</v>
      </c>
      <c r="D6" s="25" t="n">
        <v>43.417494</v>
      </c>
      <c r="E6" s="25" t="n">
        <v>43.437346</v>
      </c>
      <c r="F6" s="25" t="n">
        <v>45.88103</v>
      </c>
    </row>
    <row r="7">
      <c r="A7" s="3" t="inlineStr">
        <is>
          <t>Share Issued</t>
        </is>
      </c>
      <c r="C7" s="25" t="n">
        <v>43.55885</v>
      </c>
      <c r="D7" s="25" t="n">
        <v>43.55885</v>
      </c>
      <c r="E7" s="25" t="n">
        <v>43.55885</v>
      </c>
      <c r="F7" s="25" t="n">
        <v>46.002534</v>
      </c>
    </row>
    <row r="8">
      <c r="A8" s="3" t="inlineStr">
        <is>
          <t>Net Debt</t>
        </is>
      </c>
      <c r="C8" s="25" t="n">
        <v>216</v>
      </c>
      <c r="D8" s="25" t="n">
        <v>792</v>
      </c>
      <c r="E8" s="25" t="n">
        <v>912</v>
      </c>
    </row>
    <row r="9">
      <c r="A9" s="3" t="inlineStr">
        <is>
          <t>Total Debt</t>
        </is>
      </c>
      <c r="C9" s="25" t="n">
        <v>972</v>
      </c>
      <c r="D9" s="25" t="n">
        <v>1914</v>
      </c>
      <c r="E9" s="25" t="n">
        <v>2423</v>
      </c>
      <c r="F9" s="25" t="n">
        <v>1282</v>
      </c>
    </row>
    <row r="10">
      <c r="A10" s="3" t="inlineStr">
        <is>
          <t>Tangible Book Value</t>
        </is>
      </c>
      <c r="C10" s="25" t="n">
        <v>1998</v>
      </c>
      <c r="D10" s="25" t="n">
        <v>1238</v>
      </c>
      <c r="E10" s="25" t="n">
        <v>1248</v>
      </c>
      <c r="F10" s="25" t="n">
        <v>2413</v>
      </c>
    </row>
    <row r="11">
      <c r="A11" s="3" t="inlineStr">
        <is>
          <t>Invested Capital</t>
        </is>
      </c>
      <c r="C11" s="25" t="n">
        <v>3580</v>
      </c>
      <c r="D11" s="25" t="n">
        <v>4958</v>
      </c>
      <c r="E11" s="25" t="n">
        <v>6146</v>
      </c>
      <c r="F11" s="25" t="n">
        <v>5987</v>
      </c>
    </row>
    <row r="12">
      <c r="A12" s="3" t="inlineStr">
        <is>
          <t>Working Capital</t>
        </is>
      </c>
      <c r="C12" s="25" t="n">
        <v>1513</v>
      </c>
      <c r="D12" s="25" t="n">
        <v>1633</v>
      </c>
      <c r="E12" s="25" t="n">
        <v>1449</v>
      </c>
      <c r="F12" s="25" t="n">
        <v>1830</v>
      </c>
    </row>
    <row r="13">
      <c r="A13" s="3" t="inlineStr">
        <is>
          <t>Net Tangible Assets</t>
        </is>
      </c>
      <c r="C13" s="25" t="n">
        <v>1998</v>
      </c>
      <c r="D13" s="25" t="n">
        <v>1238</v>
      </c>
      <c r="E13" s="25" t="n">
        <v>1248</v>
      </c>
      <c r="F13" s="25" t="n">
        <v>2413</v>
      </c>
    </row>
    <row r="14">
      <c r="A14" s="3" t="inlineStr">
        <is>
          <t>Capital Lease Obligations</t>
        </is>
      </c>
      <c r="C14" s="25" t="n">
        <v>211</v>
      </c>
      <c r="D14" s="25" t="n">
        <v>272</v>
      </c>
      <c r="E14" s="25" t="n">
        <v>327</v>
      </c>
      <c r="F14" s="25" t="n">
        <v>306</v>
      </c>
    </row>
    <row r="15">
      <c r="A15" s="3" t="inlineStr">
        <is>
          <t>Common Stock Equity</t>
        </is>
      </c>
      <c r="C15" s="25" t="n">
        <v>2819</v>
      </c>
      <c r="D15" s="25" t="n">
        <v>3316</v>
      </c>
      <c r="E15" s="25" t="n">
        <v>4050</v>
      </c>
      <c r="F15" s="25" t="n">
        <v>5011</v>
      </c>
    </row>
    <row r="16">
      <c r="A16" s="3" t="inlineStr">
        <is>
          <t>Total Capitalization</t>
        </is>
      </c>
      <c r="C16" s="25" t="n">
        <v>3165</v>
      </c>
      <c r="D16" s="25" t="n">
        <v>4593</v>
      </c>
      <c r="E16" s="25" t="n">
        <v>5647</v>
      </c>
      <c r="F16" s="25" t="n">
        <v>5913</v>
      </c>
    </row>
    <row r="17">
      <c r="A17" s="3" t="inlineStr">
        <is>
          <t>Total Equity Gross Minority Interest</t>
        </is>
      </c>
      <c r="C17" s="25" t="n">
        <v>3090</v>
      </c>
      <c r="D17" s="25" t="n">
        <v>3643</v>
      </c>
      <c r="E17" s="25" t="n">
        <v>4464</v>
      </c>
      <c r="F17" s="25" t="n">
        <v>5615</v>
      </c>
    </row>
    <row r="18">
      <c r="A18" s="3" t="inlineStr">
        <is>
          <t>Minority Interest</t>
        </is>
      </c>
      <c r="C18" s="25" t="n">
        <v>271</v>
      </c>
      <c r="D18" s="25" t="n">
        <v>327</v>
      </c>
      <c r="E18" s="25" t="n">
        <v>414</v>
      </c>
      <c r="F18" s="25" t="n">
        <v>604</v>
      </c>
    </row>
    <row r="19">
      <c r="A19" s="3" t="inlineStr">
        <is>
          <t>Stockholders Equity</t>
        </is>
      </c>
      <c r="C19" s="25" t="n">
        <v>2819</v>
      </c>
      <c r="D19" s="25" t="n">
        <v>3316</v>
      </c>
      <c r="E19" s="25" t="n">
        <v>4050</v>
      </c>
      <c r="F19" s="25" t="n">
        <v>5011</v>
      </c>
    </row>
    <row r="20">
      <c r="A20" s="3" t="inlineStr">
        <is>
          <t>Other Equity Interest</t>
        </is>
      </c>
      <c r="B20" s="25" t="n">
        <v>-1</v>
      </c>
      <c r="E20" s="25" t="n">
        <v>-1</v>
      </c>
    </row>
    <row r="21">
      <c r="A21" s="3" t="inlineStr">
        <is>
          <t>Treasury Stock</t>
        </is>
      </c>
      <c r="C21" s="25" t="n">
        <v>6</v>
      </c>
      <c r="D21" s="25" t="n">
        <v>5</v>
      </c>
      <c r="E21" s="25" t="n">
        <v>4</v>
      </c>
      <c r="F21" s="25" t="n">
        <v>4</v>
      </c>
    </row>
    <row r="22">
      <c r="A22" s="3" t="inlineStr">
        <is>
          <t>Retained Earnings</t>
        </is>
      </c>
      <c r="C22" s="25" t="n">
        <v>2147</v>
      </c>
      <c r="D22" s="25" t="n">
        <v>2533</v>
      </c>
      <c r="E22" s="25" t="n">
        <v>3247</v>
      </c>
      <c r="F22" s="25" t="n">
        <v>3503</v>
      </c>
    </row>
    <row r="23">
      <c r="A23" s="3" t="inlineStr">
        <is>
          <t>Additional Paid In Capital</t>
        </is>
      </c>
      <c r="C23" s="25" t="n">
        <v>566</v>
      </c>
      <c r="D23" s="25" t="n">
        <v>676</v>
      </c>
      <c r="E23" s="25" t="n">
        <v>696</v>
      </c>
      <c r="F23" s="25" t="n">
        <v>1394</v>
      </c>
    </row>
    <row r="24">
      <c r="A24" s="3" t="inlineStr">
        <is>
          <t>Capital Stock</t>
        </is>
      </c>
      <c r="C24" s="25" t="n">
        <v>112</v>
      </c>
      <c r="D24" s="25" t="n">
        <v>112</v>
      </c>
      <c r="E24" s="25" t="n">
        <v>112</v>
      </c>
      <c r="F24" s="25" t="n">
        <v>118</v>
      </c>
    </row>
    <row r="25">
      <c r="A25" s="3" t="inlineStr">
        <is>
          <t>Common Stock</t>
        </is>
      </c>
      <c r="C25" s="25" t="n">
        <v>112</v>
      </c>
      <c r="D25" s="25" t="n">
        <v>112</v>
      </c>
      <c r="E25" s="25" t="n">
        <v>112</v>
      </c>
      <c r="F25" s="25" t="n">
        <v>118</v>
      </c>
    </row>
    <row r="26">
      <c r="A26" s="3" t="inlineStr">
        <is>
          <t>Total Liabilities Net Minority Interest</t>
        </is>
      </c>
      <c r="C26" s="25" t="n">
        <v>5006</v>
      </c>
      <c r="D26" s="25" t="n">
        <v>8064</v>
      </c>
      <c r="E26" s="25" t="n">
        <v>9880</v>
      </c>
      <c r="F26" s="25" t="n">
        <v>11157</v>
      </c>
    </row>
    <row r="27">
      <c r="A27" s="3" t="inlineStr">
        <is>
          <t>Total Non Current Liabilities Net Minority Interest</t>
        </is>
      </c>
      <c r="C27" s="25" t="n">
        <v>1341</v>
      </c>
      <c r="D27" s="25" t="n">
        <v>2605</v>
      </c>
      <c r="E27" s="25" t="n">
        <v>3098</v>
      </c>
      <c r="F27" s="25" t="n">
        <v>2086</v>
      </c>
    </row>
    <row r="28">
      <c r="A28" s="3" t="inlineStr">
        <is>
          <t>Other Non Current Liabilities</t>
        </is>
      </c>
      <c r="C28" s="25" t="n">
        <v>30</v>
      </c>
      <c r="D28" s="25" t="n">
        <v>24</v>
      </c>
      <c r="E28" s="25" t="n">
        <v>32</v>
      </c>
      <c r="F28" s="25" t="n">
        <v>3</v>
      </c>
    </row>
    <row r="29">
      <c r="A29" s="3" t="inlineStr">
        <is>
          <t>Derivative Product Liabilities</t>
        </is>
      </c>
      <c r="C29" s="25" t="n">
        <v>6</v>
      </c>
      <c r="D29" s="25" t="n">
        <v>8</v>
      </c>
      <c r="E29" s="25" t="n">
        <v>9</v>
      </c>
      <c r="F29" s="25" t="n">
        <v>3</v>
      </c>
    </row>
    <row r="30">
      <c r="A30" s="3" t="inlineStr">
        <is>
          <t>Non Current Pension And Other Postretirement Benefit Plans</t>
        </is>
      </c>
      <c r="C30" s="25" t="n">
        <v>484</v>
      </c>
      <c r="D30" s="25" t="n">
        <v>562</v>
      </c>
      <c r="E30" s="25" t="n">
        <v>527</v>
      </c>
      <c r="F30" s="25" t="n">
        <v>278</v>
      </c>
    </row>
    <row r="31">
      <c r="A31" s="3" t="inlineStr">
        <is>
          <t>Tradeand Other Payables Non Current</t>
        </is>
      </c>
      <c r="E31" s="25" t="n">
        <v>2</v>
      </c>
      <c r="F31" s="25" t="n">
        <v>2</v>
      </c>
    </row>
    <row r="32">
      <c r="A32" s="3" t="inlineStr">
        <is>
          <t>Non Current Deferred Taxes Liabilities</t>
        </is>
      </c>
      <c r="C32" s="25" t="n">
        <v>78</v>
      </c>
      <c r="D32" s="25" t="n">
        <v>260</v>
      </c>
      <c r="E32" s="25" t="n">
        <v>356</v>
      </c>
      <c r="F32" s="25" t="n">
        <v>363</v>
      </c>
    </row>
    <row r="33">
      <c r="A33" s="3" t="inlineStr">
        <is>
          <t>Long Term Debt And Capital Lease Obligation</t>
        </is>
      </c>
      <c r="C33" s="25" t="n">
        <v>518</v>
      </c>
      <c r="D33" s="25" t="n">
        <v>1503</v>
      </c>
      <c r="E33" s="25" t="n">
        <v>1871</v>
      </c>
      <c r="F33" s="25" t="n">
        <v>1155</v>
      </c>
    </row>
    <row r="34">
      <c r="A34" s="3" t="inlineStr">
        <is>
          <t>Long Term Capital Lease Obligation</t>
        </is>
      </c>
      <c r="C34" s="25" t="n">
        <v>172</v>
      </c>
      <c r="D34" s="25" t="n">
        <v>226</v>
      </c>
      <c r="E34" s="25" t="n">
        <v>274</v>
      </c>
      <c r="F34" s="25" t="n">
        <v>253</v>
      </c>
    </row>
    <row r="35">
      <c r="A35" s="3" t="inlineStr">
        <is>
          <t>Long Term Debt</t>
        </is>
      </c>
      <c r="C35" s="25" t="n">
        <v>346</v>
      </c>
      <c r="D35" s="25" t="n">
        <v>1277</v>
      </c>
      <c r="E35" s="25" t="n">
        <v>1597</v>
      </c>
      <c r="F35" s="25" t="n">
        <v>902</v>
      </c>
    </row>
    <row r="36">
      <c r="A36" s="3" t="inlineStr">
        <is>
          <t>Long Term Provisions</t>
        </is>
      </c>
      <c r="C36" s="25" t="n">
        <v>205</v>
      </c>
      <c r="D36" s="25" t="n">
        <v>230</v>
      </c>
      <c r="E36" s="25" t="n">
        <v>285</v>
      </c>
      <c r="F36" s="25" t="n">
        <v>280</v>
      </c>
    </row>
    <row r="37">
      <c r="A37" s="3" t="inlineStr">
        <is>
          <t>Current Liabilities</t>
        </is>
      </c>
      <c r="C37" s="25" t="n">
        <v>3665</v>
      </c>
      <c r="D37" s="25" t="n">
        <v>5459</v>
      </c>
      <c r="E37" s="25" t="n">
        <v>6782</v>
      </c>
      <c r="F37" s="25" t="n">
        <v>9071</v>
      </c>
    </row>
    <row r="38">
      <c r="A38" s="3" t="inlineStr">
        <is>
          <t>Other Current Liabilities</t>
        </is>
      </c>
      <c r="C38" s="25" t="n">
        <v>44</v>
      </c>
      <c r="D38" s="25" t="n">
        <v>65</v>
      </c>
      <c r="E38" s="25" t="n">
        <v>112</v>
      </c>
      <c r="F38" s="25" t="n">
        <v>98</v>
      </c>
    </row>
    <row r="39">
      <c r="A39" s="3" t="inlineStr">
        <is>
          <t>Current Debt And Capital Lease Obligation</t>
        </is>
      </c>
      <c r="C39" s="25" t="n">
        <v>454</v>
      </c>
      <c r="D39" s="25" t="n">
        <v>411</v>
      </c>
      <c r="E39" s="25" t="n">
        <v>552</v>
      </c>
      <c r="F39" s="25" t="n">
        <v>127</v>
      </c>
    </row>
    <row r="40">
      <c r="A40" s="3" t="inlineStr">
        <is>
          <t>Current Capital Lease Obligation</t>
        </is>
      </c>
      <c r="C40" s="25" t="n">
        <v>39</v>
      </c>
      <c r="D40" s="25" t="n">
        <v>46</v>
      </c>
      <c r="E40" s="25" t="n">
        <v>53</v>
      </c>
      <c r="F40" s="25" t="n">
        <v>53</v>
      </c>
    </row>
    <row r="41">
      <c r="A41" s="3" t="inlineStr">
        <is>
          <t>Current Debt</t>
        </is>
      </c>
      <c r="C41" s="25" t="n">
        <v>415</v>
      </c>
      <c r="D41" s="25" t="n">
        <v>365</v>
      </c>
      <c r="E41" s="25" t="n">
        <v>499</v>
      </c>
      <c r="F41" s="25" t="n">
        <v>74</v>
      </c>
    </row>
    <row r="42">
      <c r="A42" s="3" t="inlineStr">
        <is>
          <t>Pensionand Other Post Retirement Benefit Plans Current</t>
        </is>
      </c>
      <c r="B42" s="25" t="n">
        <v>0</v>
      </c>
      <c r="C42" s="25" t="n">
        <v>0</v>
      </c>
      <c r="D42" s="25" t="n">
        <v>0</v>
      </c>
      <c r="E42" s="25" t="n">
        <v>0</v>
      </c>
    </row>
    <row r="43">
      <c r="A43" s="3" t="inlineStr">
        <is>
          <t>Current Provisions</t>
        </is>
      </c>
      <c r="C43" s="25" t="n">
        <v>674</v>
      </c>
      <c r="D43" s="25" t="n">
        <v>690</v>
      </c>
      <c r="E43" s="25" t="n">
        <v>807</v>
      </c>
      <c r="F43" s="25" t="n">
        <v>891</v>
      </c>
    </row>
    <row r="44">
      <c r="A44" s="3" t="inlineStr">
        <is>
          <t>Payables</t>
        </is>
      </c>
      <c r="C44" s="25" t="n">
        <v>1099</v>
      </c>
      <c r="D44" s="25" t="n">
        <v>1442</v>
      </c>
      <c r="E44" s="25" t="n">
        <v>1369</v>
      </c>
      <c r="F44" s="25" t="n">
        <v>1568</v>
      </c>
    </row>
    <row r="45">
      <c r="A45" s="3" t="inlineStr">
        <is>
          <t>Total Tax Payable</t>
        </is>
      </c>
      <c r="C45" s="25" t="n">
        <v>168</v>
      </c>
      <c r="D45" s="25" t="n">
        <v>220</v>
      </c>
      <c r="E45" s="25" t="n">
        <v>218</v>
      </c>
      <c r="F45" s="25" t="n">
        <v>382</v>
      </c>
    </row>
    <row r="46">
      <c r="A46" s="3" t="inlineStr">
        <is>
          <t>Accounts Payable</t>
        </is>
      </c>
      <c r="C46" s="25" t="n">
        <v>931</v>
      </c>
      <c r="D46" s="25" t="n">
        <v>1222</v>
      </c>
      <c r="E46" s="25" t="n">
        <v>1151</v>
      </c>
      <c r="F46" s="25" t="n">
        <v>1186</v>
      </c>
    </row>
    <row r="47">
      <c r="A47" s="3" t="inlineStr">
        <is>
          <t>Total Assets</t>
        </is>
      </c>
      <c r="C47" s="25" t="n">
        <v>8096</v>
      </c>
      <c r="D47" s="25" t="n">
        <v>11707</v>
      </c>
      <c r="E47" s="25" t="n">
        <v>14344</v>
      </c>
      <c r="F47" s="25" t="n">
        <v>16772</v>
      </c>
    </row>
    <row r="48">
      <c r="A48" s="3" t="inlineStr">
        <is>
          <t>Total Non Current Assets</t>
        </is>
      </c>
      <c r="C48" s="25" t="n">
        <v>2918</v>
      </c>
      <c r="D48" s="25" t="n">
        <v>4615</v>
      </c>
      <c r="E48" s="25" t="n">
        <v>6112</v>
      </c>
      <c r="F48" s="25" t="n">
        <v>5871</v>
      </c>
    </row>
    <row r="49">
      <c r="A49" s="3" t="inlineStr">
        <is>
          <t>Other Non Current Assets</t>
        </is>
      </c>
      <c r="C49" s="25" t="n">
        <v>7</v>
      </c>
      <c r="D49" s="25" t="n">
        <v>14</v>
      </c>
      <c r="E49" s="25" t="n">
        <v>9</v>
      </c>
      <c r="F49" s="25" t="n">
        <v>10</v>
      </c>
    </row>
    <row r="50">
      <c r="A50" s="3" t="inlineStr">
        <is>
          <t>Defined Pension Benefit</t>
        </is>
      </c>
      <c r="C50" s="25" t="n">
        <v>0</v>
      </c>
      <c r="D50" s="25" t="n">
        <v>99</v>
      </c>
      <c r="E50" s="25" t="n">
        <v>275</v>
      </c>
      <c r="F50" s="25" t="n">
        <v>289</v>
      </c>
    </row>
    <row r="51">
      <c r="A51" s="3" t="inlineStr">
        <is>
          <t>Non Current Prepaid Assets</t>
        </is>
      </c>
      <c r="C51" s="25" t="n">
        <v>11</v>
      </c>
      <c r="D51" s="25" t="n">
        <v>18</v>
      </c>
      <c r="E51" s="25" t="n">
        <v>26</v>
      </c>
      <c r="F51" s="25" t="n">
        <v>16</v>
      </c>
    </row>
    <row r="52">
      <c r="A52" s="3" t="inlineStr">
        <is>
          <t>Non Current Deferred Assets</t>
        </is>
      </c>
      <c r="C52" s="25" t="n">
        <v>100</v>
      </c>
      <c r="D52" s="25" t="n">
        <v>134</v>
      </c>
      <c r="E52" s="25" t="n">
        <v>183</v>
      </c>
      <c r="F52" s="25" t="n">
        <v>198</v>
      </c>
    </row>
    <row r="53">
      <c r="A53" s="3" t="inlineStr">
        <is>
          <t>Non Current Deferred Taxes Assets</t>
        </is>
      </c>
      <c r="C53" s="25" t="n">
        <v>98</v>
      </c>
      <c r="D53" s="25" t="n">
        <v>164</v>
      </c>
      <c r="E53" s="25" t="n">
        <v>172</v>
      </c>
      <c r="F53" s="25" t="n">
        <v>165</v>
      </c>
    </row>
    <row r="54">
      <c r="A54" s="3" t="inlineStr">
        <is>
          <t>Financial Assets</t>
        </is>
      </c>
      <c r="C54" s="25" t="n">
        <v>10</v>
      </c>
      <c r="D54" s="25" t="n">
        <v>7</v>
      </c>
      <c r="E54" s="25" t="n">
        <v>9</v>
      </c>
      <c r="F54" s="25" t="n">
        <v>32</v>
      </c>
    </row>
    <row r="55">
      <c r="A55" s="3" t="inlineStr">
        <is>
          <t>Investmentin Financial Assets</t>
        </is>
      </c>
      <c r="C55" s="25" t="n">
        <v>32</v>
      </c>
      <c r="D55" s="25" t="n">
        <v>34</v>
      </c>
      <c r="E55" s="25" t="n">
        <v>80</v>
      </c>
      <c r="F55" s="25" t="n">
        <v>45</v>
      </c>
    </row>
    <row r="56">
      <c r="A56" s="3" t="inlineStr">
        <is>
          <t>Held To Maturity Securities</t>
        </is>
      </c>
      <c r="C56" s="25" t="n">
        <v>11</v>
      </c>
      <c r="D56" s="25" t="n">
        <v>11</v>
      </c>
      <c r="E56" s="25" t="n">
        <v>19</v>
      </c>
      <c r="F56" s="25" t="n">
        <v>26</v>
      </c>
    </row>
    <row r="57">
      <c r="A57" s="3" t="inlineStr">
        <is>
          <t>Available For Sale Securities</t>
        </is>
      </c>
      <c r="C57" s="25" t="n">
        <v>21</v>
      </c>
      <c r="D57" s="25" t="n">
        <v>23</v>
      </c>
      <c r="E57" s="25" t="n">
        <v>61</v>
      </c>
      <c r="F57" s="25" t="n">
        <v>19</v>
      </c>
    </row>
    <row r="58">
      <c r="A58" s="3" t="inlineStr">
        <is>
          <t>Long Term Equity Investment</t>
        </is>
      </c>
      <c r="C58" s="25" t="n">
        <v>442</v>
      </c>
      <c r="D58" s="25" t="n">
        <v>373</v>
      </c>
      <c r="E58" s="25" t="n">
        <v>346</v>
      </c>
      <c r="F58" s="25" t="n">
        <v>213</v>
      </c>
    </row>
    <row r="59">
      <c r="A59" s="3" t="inlineStr">
        <is>
          <t>Investment Properties</t>
        </is>
      </c>
      <c r="C59" s="25" t="n">
        <v>24</v>
      </c>
      <c r="D59" s="25" t="n">
        <v>22</v>
      </c>
      <c r="E59" s="25" t="n">
        <v>20</v>
      </c>
      <c r="F59" s="25" t="n">
        <v>2</v>
      </c>
    </row>
    <row r="60">
      <c r="A60" s="3" t="inlineStr">
        <is>
          <t>Goodwill And Other Intangible Assets</t>
        </is>
      </c>
      <c r="C60" s="25" t="n">
        <v>821</v>
      </c>
      <c r="D60" s="25" t="n">
        <v>2078</v>
      </c>
      <c r="E60" s="25" t="n">
        <v>2802</v>
      </c>
      <c r="F60" s="25" t="n">
        <v>2598</v>
      </c>
    </row>
    <row r="61">
      <c r="A61" s="3" t="inlineStr">
        <is>
          <t>Other Intangible Assets</t>
        </is>
      </c>
      <c r="C61" s="25" t="n">
        <v>338</v>
      </c>
      <c r="D61" s="25" t="n">
        <v>953</v>
      </c>
      <c r="E61" s="25" t="n">
        <v>1376</v>
      </c>
      <c r="F61" s="25" t="n">
        <v>1244</v>
      </c>
    </row>
    <row r="62">
      <c r="A62" s="3" t="inlineStr">
        <is>
          <t>Goodwill</t>
        </is>
      </c>
      <c r="C62" s="25" t="n">
        <v>483</v>
      </c>
      <c r="D62" s="25" t="n">
        <v>1125</v>
      </c>
      <c r="E62" s="25" t="n">
        <v>1426</v>
      </c>
      <c r="F62" s="25" t="n">
        <v>1354</v>
      </c>
    </row>
    <row r="63">
      <c r="A63" s="3" t="inlineStr">
        <is>
          <t>Net PPE</t>
        </is>
      </c>
      <c r="C63" s="25" t="n">
        <v>1347</v>
      </c>
      <c r="D63" s="25" t="n">
        <v>1641</v>
      </c>
      <c r="E63" s="25" t="n">
        <v>2188</v>
      </c>
      <c r="F63" s="25" t="n">
        <v>2300</v>
      </c>
    </row>
    <row r="64">
      <c r="A64" s="3" t="inlineStr">
        <is>
          <t>Accumulated Depreciation</t>
        </is>
      </c>
      <c r="C64" s="25" t="n">
        <v>-2945</v>
      </c>
      <c r="D64" s="25" t="n">
        <v>-3247</v>
      </c>
      <c r="E64" s="25" t="n">
        <v>-3524</v>
      </c>
      <c r="F64" s="25" t="n">
        <v>-2114</v>
      </c>
    </row>
    <row r="65">
      <c r="A65" s="3" t="inlineStr">
        <is>
          <t>Gross PPE</t>
        </is>
      </c>
      <c r="C65" s="25" t="n">
        <v>4292</v>
      </c>
      <c r="D65" s="25" t="n">
        <v>4888</v>
      </c>
      <c r="E65" s="25" t="n">
        <v>5712</v>
      </c>
      <c r="F65" s="25" t="n">
        <v>4414</v>
      </c>
    </row>
    <row r="66">
      <c r="A66" s="3" t="inlineStr">
        <is>
          <t>Construction In Progress</t>
        </is>
      </c>
      <c r="C66" s="25" t="n">
        <v>162</v>
      </c>
      <c r="D66" s="25" t="n">
        <v>226</v>
      </c>
      <c r="E66" s="25" t="n">
        <v>539</v>
      </c>
      <c r="F66" s="25" t="n">
        <v>365</v>
      </c>
    </row>
    <row r="67">
      <c r="A67" s="3" t="inlineStr">
        <is>
          <t>Other Properties</t>
        </is>
      </c>
      <c r="C67" s="25" t="n">
        <v>15</v>
      </c>
      <c r="D67" s="25" t="n">
        <v>31</v>
      </c>
      <c r="E67" s="25" t="n">
        <v>34</v>
      </c>
      <c r="F67" s="25" t="n">
        <v>38</v>
      </c>
    </row>
    <row r="68">
      <c r="A68" s="3" t="inlineStr">
        <is>
          <t>Machinery Furniture Equipment</t>
        </is>
      </c>
      <c r="C68" s="25" t="n">
        <v>2637</v>
      </c>
      <c r="D68" s="25" t="n">
        <v>2942</v>
      </c>
      <c r="E68" s="25" t="n">
        <v>3327</v>
      </c>
      <c r="F68" s="25" t="n">
        <v>2099</v>
      </c>
    </row>
    <row r="69">
      <c r="A69" s="3" t="inlineStr">
        <is>
          <t>Buildings And Improvements</t>
        </is>
      </c>
      <c r="C69" s="25" t="n">
        <v>295</v>
      </c>
      <c r="D69" s="25" t="n">
        <v>373</v>
      </c>
      <c r="E69" s="25" t="n">
        <v>458</v>
      </c>
      <c r="F69" s="25" t="n">
        <v>443</v>
      </c>
    </row>
    <row r="70">
      <c r="A70" s="3" t="inlineStr">
        <is>
          <t>Land And Improvements</t>
        </is>
      </c>
      <c r="C70" s="25" t="n">
        <v>1183</v>
      </c>
      <c r="D70" s="25" t="n">
        <v>1316</v>
      </c>
      <c r="E70" s="25" t="n">
        <v>1354</v>
      </c>
      <c r="F70" s="25" t="n">
        <v>1469</v>
      </c>
    </row>
    <row r="71">
      <c r="A71" s="3" t="inlineStr">
        <is>
          <t>Properties</t>
        </is>
      </c>
      <c r="C71" s="25" t="n">
        <v>0</v>
      </c>
      <c r="D71" s="25" t="n">
        <v>0</v>
      </c>
      <c r="E71" s="25" t="n">
        <v>0</v>
      </c>
      <c r="F71" s="25" t="n">
        <v>0</v>
      </c>
    </row>
    <row r="72">
      <c r="A72" s="3" t="inlineStr">
        <is>
          <t>Current Assets</t>
        </is>
      </c>
      <c r="C72" s="25" t="n">
        <v>5178</v>
      </c>
      <c r="D72" s="25" t="n">
        <v>7092</v>
      </c>
      <c r="E72" s="25" t="n">
        <v>8231</v>
      </c>
      <c r="F72" s="25" t="n">
        <v>10901</v>
      </c>
    </row>
    <row r="73">
      <c r="A73" s="3" t="inlineStr">
        <is>
          <t>Other Current Assets</t>
        </is>
      </c>
      <c r="C73" s="25" t="n">
        <v>30</v>
      </c>
      <c r="D73" s="25" t="n">
        <v>25</v>
      </c>
      <c r="E73" s="25" t="n">
        <v>70</v>
      </c>
      <c r="F73" s="25" t="n">
        <v>50</v>
      </c>
    </row>
    <row r="74">
      <c r="A74" s="3" t="inlineStr">
        <is>
          <t>Hedging Assets Current</t>
        </is>
      </c>
      <c r="C74" s="25" t="n">
        <v>31</v>
      </c>
      <c r="D74" s="25" t="n">
        <v>18</v>
      </c>
      <c r="E74" s="25" t="n">
        <v>32</v>
      </c>
      <c r="F74" s="25" t="n">
        <v>48</v>
      </c>
    </row>
    <row r="75">
      <c r="A75" s="3" t="inlineStr">
        <is>
          <t>Assets Held For Sale Current</t>
        </is>
      </c>
      <c r="C75" s="25" t="n">
        <v>349</v>
      </c>
      <c r="D75" s="25" t="n">
        <v>196</v>
      </c>
      <c r="E75" s="25" t="n">
        <v>0</v>
      </c>
      <c r="F75" s="25" t="n">
        <v>1270</v>
      </c>
    </row>
    <row r="76">
      <c r="A76" s="3" t="inlineStr">
        <is>
          <t>Current Deferred Assets</t>
        </is>
      </c>
      <c r="C76" s="25" t="n">
        <v>0</v>
      </c>
      <c r="D76" s="25" t="n">
        <v>0</v>
      </c>
      <c r="E76" s="25" t="n">
        <v>0</v>
      </c>
      <c r="F76" s="25" t="n">
        <v>0</v>
      </c>
    </row>
    <row r="77">
      <c r="A77" s="3" t="inlineStr">
        <is>
          <t>Prepaid Assets</t>
        </is>
      </c>
      <c r="C77" s="25" t="n">
        <v>135</v>
      </c>
      <c r="D77" s="25" t="n">
        <v>342</v>
      </c>
      <c r="E77" s="25" t="n">
        <v>516</v>
      </c>
      <c r="F77" s="25" t="n">
        <v>647</v>
      </c>
    </row>
    <row r="78">
      <c r="A78" s="3" t="inlineStr">
        <is>
          <t>Inventory</t>
        </is>
      </c>
      <c r="C78" s="25" t="n">
        <v>1879</v>
      </c>
      <c r="D78" s="25" t="n">
        <v>2951</v>
      </c>
      <c r="E78" s="25" t="n">
        <v>3528</v>
      </c>
      <c r="F78" s="25" t="n">
        <v>4137</v>
      </c>
    </row>
    <row r="79">
      <c r="A79" s="3" t="inlineStr">
        <is>
          <t>Finished Goods</t>
        </is>
      </c>
      <c r="C79" s="25" t="n">
        <v>245</v>
      </c>
      <c r="D79" s="25" t="n">
        <v>455</v>
      </c>
      <c r="E79" s="25" t="n">
        <v>384</v>
      </c>
      <c r="F79" s="25" t="n">
        <v>229</v>
      </c>
    </row>
    <row r="80">
      <c r="A80" s="3" t="inlineStr">
        <is>
          <t>Work In Process</t>
        </is>
      </c>
      <c r="C80" s="25" t="n">
        <v>814</v>
      </c>
      <c r="D80" s="25" t="n">
        <v>1251</v>
      </c>
      <c r="E80" s="25" t="n">
        <v>1486</v>
      </c>
      <c r="F80" s="25" t="n">
        <v>1835</v>
      </c>
    </row>
    <row r="81">
      <c r="A81" s="3" t="inlineStr">
        <is>
          <t>Raw Materials</t>
        </is>
      </c>
      <c r="C81" s="25" t="n">
        <v>820</v>
      </c>
      <c r="D81" s="25" t="n">
        <v>1245</v>
      </c>
      <c r="E81" s="25" t="n">
        <v>1658</v>
      </c>
      <c r="F81" s="25" t="n">
        <v>2073</v>
      </c>
    </row>
    <row r="82">
      <c r="A82" s="3" t="inlineStr">
        <is>
          <t>Other Receivables</t>
        </is>
      </c>
      <c r="C82" s="25" t="n">
        <v>375</v>
      </c>
      <c r="D82" s="25" t="n">
        <v>528</v>
      </c>
      <c r="E82" s="25" t="n">
        <v>692</v>
      </c>
      <c r="F82" s="25" t="n">
        <v>957</v>
      </c>
    </row>
    <row r="83">
      <c r="A83" s="3" t="inlineStr">
        <is>
          <t>Taxes Receivable</t>
        </is>
      </c>
      <c r="C83" s="25" t="n">
        <v>122</v>
      </c>
      <c r="D83" s="25" t="n">
        <v>83</v>
      </c>
      <c r="E83" s="25" t="n">
        <v>169</v>
      </c>
      <c r="F83" s="25" t="n">
        <v>194</v>
      </c>
    </row>
    <row r="84">
      <c r="A84" s="3" t="inlineStr">
        <is>
          <t>Accounts Receivable</t>
        </is>
      </c>
      <c r="C84" s="25" t="n">
        <v>1560</v>
      </c>
      <c r="D84" s="25" t="n">
        <v>2033</v>
      </c>
      <c r="E84" s="25" t="n">
        <v>1959</v>
      </c>
      <c r="F84" s="25" t="n">
        <v>1907</v>
      </c>
    </row>
    <row r="85">
      <c r="A85" s="3" t="inlineStr">
        <is>
          <t>Cash Cash Equivalents And Short Term Investments</t>
        </is>
      </c>
      <c r="C85" s="25" t="n">
        <v>696</v>
      </c>
      <c r="D85" s="25" t="n">
        <v>915</v>
      </c>
      <c r="E85" s="25" t="n">
        <v>1265</v>
      </c>
      <c r="F85" s="25" t="n">
        <v>1691</v>
      </c>
    </row>
    <row r="86">
      <c r="A86" s="3" t="inlineStr">
        <is>
          <t>Other Short Term Investments</t>
        </is>
      </c>
      <c r="C86" s="25" t="n">
        <v>151</v>
      </c>
      <c r="D86" s="25" t="n">
        <v>65</v>
      </c>
      <c r="E86" s="25" t="n">
        <v>81</v>
      </c>
      <c r="F86" s="25" t="n">
        <v>41</v>
      </c>
    </row>
    <row r="87">
      <c r="A87" s="3" t="inlineStr">
        <is>
          <t>Cash And Cash Equivalents</t>
        </is>
      </c>
      <c r="C87" s="25" t="n">
        <v>545</v>
      </c>
      <c r="D87" s="25" t="n">
        <v>850</v>
      </c>
      <c r="E87" s="25" t="n">
        <v>1184</v>
      </c>
      <c r="F87" s="25" t="n">
        <v>1650</v>
      </c>
    </row>
    <row r="88">
      <c r="A88" s="3" t="inlineStr">
        <is>
          <t>Cash Equivalents</t>
        </is>
      </c>
      <c r="C88" s="25" t="n">
        <v>0</v>
      </c>
      <c r="D88" s="25" t="n">
        <v>0</v>
      </c>
      <c r="E88" s="25" t="n">
        <v>0</v>
      </c>
      <c r="F88" s="25" t="n">
        <v>0</v>
      </c>
    </row>
    <row r="89">
      <c r="A89" s="3" t="inlineStr">
        <is>
          <t>Cash Financial</t>
        </is>
      </c>
      <c r="C89" s="25" t="n">
        <v>545</v>
      </c>
      <c r="D89" s="25" t="n">
        <v>850</v>
      </c>
      <c r="E89" s="25" t="n">
        <v>1184</v>
      </c>
      <c r="F89" s="25" t="n">
        <v>1650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RHM.DE — CF (reported)</t>
        </is>
      </c>
    </row>
    <row r="2">
      <c r="A2" s="2" t="inlineStr">
        <is>
          <t>As reported by yfinance (EURmm).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-175</v>
      </c>
      <c r="D5" s="25" t="n">
        <v>345</v>
      </c>
      <c r="E5" s="25" t="n">
        <v>988</v>
      </c>
      <c r="F5" s="25" t="n">
        <v>1415</v>
      </c>
    </row>
    <row r="6">
      <c r="A6" s="3" t="inlineStr">
        <is>
          <t>Repayment Of Debt</t>
        </is>
      </c>
      <c r="C6" s="25" t="n">
        <v>-232</v>
      </c>
      <c r="D6" s="25" t="n">
        <v>-485</v>
      </c>
      <c r="E6" s="25" t="n">
        <v>-773</v>
      </c>
      <c r="F6" s="25" t="n">
        <v>-585</v>
      </c>
    </row>
    <row r="7">
      <c r="A7" s="3" t="inlineStr">
        <is>
          <t>Issuance Of Debt</t>
        </is>
      </c>
      <c r="C7" s="25" t="n">
        <v>249</v>
      </c>
      <c r="D7" s="25" t="n">
        <v>1407</v>
      </c>
      <c r="E7" s="25" t="n">
        <v>793</v>
      </c>
      <c r="F7" s="25" t="n">
        <v>71</v>
      </c>
    </row>
    <row r="8">
      <c r="A8" s="3" t="inlineStr">
        <is>
          <t>Capital Expenditure</t>
        </is>
      </c>
      <c r="C8" s="25" t="n">
        <v>-349</v>
      </c>
      <c r="D8" s="25" t="n">
        <v>-398</v>
      </c>
      <c r="E8" s="25" t="n">
        <v>-732</v>
      </c>
      <c r="F8" s="25" t="n">
        <v>-872</v>
      </c>
    </row>
    <row r="9">
      <c r="A9" s="3" t="inlineStr">
        <is>
          <t>End Cash Position</t>
        </is>
      </c>
      <c r="C9" s="25" t="n">
        <v>568</v>
      </c>
      <c r="D9" s="25" t="n">
        <v>873</v>
      </c>
      <c r="E9" s="25" t="n">
        <v>1184</v>
      </c>
      <c r="F9" s="25" t="n">
        <v>1758</v>
      </c>
    </row>
    <row r="10">
      <c r="A10" s="3" t="inlineStr">
        <is>
          <t>Other Cash Adjustment Outside Changein Cash</t>
        </is>
      </c>
      <c r="B10" s="25" t="n">
        <v>1</v>
      </c>
      <c r="E10" s="25" t="n">
        <v>-1</v>
      </c>
      <c r="F10" s="25" t="n">
        <v>1</v>
      </c>
    </row>
    <row r="11">
      <c r="A11" s="3" t="inlineStr">
        <is>
          <t>Beginning Cash Position</t>
        </is>
      </c>
      <c r="C11" s="25" t="n">
        <v>1058</v>
      </c>
      <c r="D11" s="25" t="n">
        <v>568</v>
      </c>
      <c r="E11" s="25" t="n">
        <v>873</v>
      </c>
      <c r="F11" s="25" t="n">
        <v>1184</v>
      </c>
    </row>
    <row r="12">
      <c r="A12" s="3" t="inlineStr">
        <is>
          <t>Effect Of Exchange Rate Changes</t>
        </is>
      </c>
      <c r="C12" s="25" t="n">
        <v>1</v>
      </c>
      <c r="D12" s="25" t="n">
        <v>-9</v>
      </c>
      <c r="E12" s="25" t="n">
        <v>-2</v>
      </c>
      <c r="F12" s="25" t="n">
        <v>-10</v>
      </c>
    </row>
    <row r="13">
      <c r="A13" s="3" t="inlineStr">
        <is>
          <t>Changes In Cash</t>
        </is>
      </c>
      <c r="C13" s="25" t="n">
        <v>-491</v>
      </c>
      <c r="D13" s="25" t="n">
        <v>314</v>
      </c>
      <c r="E13" s="25" t="n">
        <v>314</v>
      </c>
      <c r="F13" s="25" t="n">
        <v>583</v>
      </c>
    </row>
    <row r="14">
      <c r="A14" s="3" t="inlineStr">
        <is>
          <t>Other Cash Adjustment Inside Changein Cash</t>
        </is>
      </c>
      <c r="B14" s="25" t="n">
        <v>-19</v>
      </c>
      <c r="C14" s="25" t="n">
        <v>-23</v>
      </c>
    </row>
    <row r="15">
      <c r="A15" s="3" t="inlineStr">
        <is>
          <t>Financing Cash Flow</t>
        </is>
      </c>
      <c r="C15" s="25" t="n">
        <v>-131</v>
      </c>
      <c r="D15" s="25" t="n">
        <v>746</v>
      </c>
      <c r="E15" s="25" t="n">
        <v>-234</v>
      </c>
      <c r="F15" s="25" t="n">
        <v>-861</v>
      </c>
    </row>
    <row r="16">
      <c r="A16" s="3" t="inlineStr">
        <is>
          <t>Net Other Financing Charges</t>
        </is>
      </c>
      <c r="C16" s="25" t="n">
        <v>-5</v>
      </c>
      <c r="D16" s="25" t="n">
        <v>18</v>
      </c>
      <c r="E16" s="25" t="n">
        <v>-6</v>
      </c>
      <c r="F16" s="25" t="n">
        <v>22</v>
      </c>
    </row>
    <row r="17">
      <c r="A17" s="3" t="inlineStr">
        <is>
          <t>Cash Dividends Paid</t>
        </is>
      </c>
      <c r="C17" s="25" t="n">
        <v>-143</v>
      </c>
      <c r="D17" s="25" t="n">
        <v>-187</v>
      </c>
      <c r="E17" s="25" t="n">
        <v>-248</v>
      </c>
      <c r="F17" s="25" t="n">
        <v>-369</v>
      </c>
    </row>
    <row r="18">
      <c r="A18" s="3" t="inlineStr">
        <is>
          <t>Net Issuance Payments Of Debt</t>
        </is>
      </c>
      <c r="C18" s="25" t="n">
        <v>17</v>
      </c>
      <c r="D18" s="25" t="n">
        <v>922</v>
      </c>
      <c r="E18" s="25" t="n">
        <v>20</v>
      </c>
      <c r="F18" s="25" t="n">
        <v>-514</v>
      </c>
    </row>
    <row r="19">
      <c r="A19" s="3" t="inlineStr">
        <is>
          <t>Net Long Term Debt Issuance</t>
        </is>
      </c>
      <c r="C19" s="25" t="n">
        <v>17</v>
      </c>
      <c r="D19" s="25" t="n">
        <v>922</v>
      </c>
      <c r="E19" s="25" t="n">
        <v>20</v>
      </c>
      <c r="F19" s="25" t="n">
        <v>-514</v>
      </c>
    </row>
    <row r="20">
      <c r="A20" s="3" t="inlineStr">
        <is>
          <t>Long Term Debt Payments</t>
        </is>
      </c>
      <c r="C20" s="25" t="n">
        <v>-232</v>
      </c>
      <c r="D20" s="25" t="n">
        <v>-485</v>
      </c>
      <c r="E20" s="25" t="n">
        <v>-773</v>
      </c>
      <c r="F20" s="25" t="n">
        <v>-585</v>
      </c>
    </row>
    <row r="21">
      <c r="A21" s="3" t="inlineStr">
        <is>
          <t>Long Term Debt Issuance</t>
        </is>
      </c>
      <c r="C21" s="25" t="n">
        <v>249</v>
      </c>
      <c r="D21" s="25" t="n">
        <v>1407</v>
      </c>
      <c r="E21" s="25" t="n">
        <v>793</v>
      </c>
      <c r="F21" s="25" t="n">
        <v>71</v>
      </c>
    </row>
    <row r="22">
      <c r="A22" s="3" t="inlineStr">
        <is>
          <t>Investing Cash Flow</t>
        </is>
      </c>
      <c r="C22" s="25" t="n">
        <v>-534</v>
      </c>
      <c r="D22" s="25" t="n">
        <v>-1175</v>
      </c>
      <c r="E22" s="25" t="n">
        <v>-1172</v>
      </c>
      <c r="F22" s="25" t="n">
        <v>-843</v>
      </c>
    </row>
    <row r="23">
      <c r="A23" s="3" t="inlineStr">
        <is>
          <t>Net Other Investing Changes</t>
        </is>
      </c>
      <c r="C23" s="25" t="n">
        <v>-1</v>
      </c>
      <c r="E23" s="25" t="n">
        <v>34</v>
      </c>
      <c r="F23" s="25" t="n">
        <v>-1</v>
      </c>
    </row>
    <row r="24">
      <c r="A24" s="3" t="inlineStr">
        <is>
          <t>Net Investment Purchase And Sale</t>
        </is>
      </c>
      <c r="B24" s="25" t="n">
        <v>-195</v>
      </c>
      <c r="C24" s="25" t="n">
        <v>-205</v>
      </c>
      <c r="D24" s="25" t="n">
        <v>130</v>
      </c>
      <c r="E24" s="25" t="n">
        <v>0</v>
      </c>
    </row>
    <row r="25">
      <c r="A25" s="3" t="inlineStr">
        <is>
          <t>Sale Of Investment</t>
        </is>
      </c>
      <c r="C25" s="25" t="n">
        <v>0</v>
      </c>
      <c r="D25" s="25" t="n">
        <v>130</v>
      </c>
    </row>
    <row r="26">
      <c r="A26" s="3" t="inlineStr">
        <is>
          <t>Purchase Of Investment</t>
        </is>
      </c>
      <c r="B26" s="25" t="n">
        <v>-195</v>
      </c>
      <c r="C26" s="25" t="n">
        <v>-205</v>
      </c>
      <c r="D26" s="25" t="n">
        <v>-1064</v>
      </c>
    </row>
    <row r="27">
      <c r="A27" s="3" t="inlineStr">
        <is>
          <t>Net Business Purchase And Sale</t>
        </is>
      </c>
      <c r="C27" s="25" t="n">
        <v>2</v>
      </c>
      <c r="D27" s="25" t="n">
        <v>-909</v>
      </c>
      <c r="E27" s="25" t="n">
        <v>-484</v>
      </c>
      <c r="F27" s="25" t="n">
        <v>20</v>
      </c>
    </row>
    <row r="28">
      <c r="A28" s="3" t="inlineStr">
        <is>
          <t>Sale Of Business</t>
        </is>
      </c>
      <c r="C28" s="25" t="n">
        <v>2</v>
      </c>
      <c r="D28" s="25" t="n">
        <v>155</v>
      </c>
      <c r="E28" s="25" t="n">
        <v>24</v>
      </c>
      <c r="F28" s="25" t="n">
        <v>74</v>
      </c>
    </row>
    <row r="29">
      <c r="A29" s="3" t="inlineStr">
        <is>
          <t>Purchase Of Business</t>
        </is>
      </c>
      <c r="B29" s="25" t="n">
        <v>-35</v>
      </c>
      <c r="D29" s="25" t="n">
        <v>-1064</v>
      </c>
      <c r="E29" s="25" t="n">
        <v>-508</v>
      </c>
      <c r="F29" s="25" t="n">
        <v>-54</v>
      </c>
    </row>
    <row r="30">
      <c r="A30" s="3" t="inlineStr">
        <is>
          <t>Net PPE Purchase And Sale</t>
        </is>
      </c>
      <c r="C30" s="25" t="n">
        <v>-330</v>
      </c>
      <c r="D30" s="25" t="n">
        <v>-396</v>
      </c>
      <c r="E30" s="25" t="n">
        <v>-722</v>
      </c>
      <c r="F30" s="25" t="n">
        <v>-862</v>
      </c>
    </row>
    <row r="31">
      <c r="A31" s="3" t="inlineStr">
        <is>
          <t>Sale Of PPE</t>
        </is>
      </c>
      <c r="C31" s="25" t="n">
        <v>19</v>
      </c>
      <c r="D31" s="25" t="n">
        <v>2</v>
      </c>
      <c r="E31" s="25" t="n">
        <v>10</v>
      </c>
      <c r="F31" s="25" t="n">
        <v>10</v>
      </c>
    </row>
    <row r="32">
      <c r="A32" s="3" t="inlineStr">
        <is>
          <t>Purchase Of PPE</t>
        </is>
      </c>
      <c r="C32" s="25" t="n">
        <v>-349</v>
      </c>
      <c r="D32" s="25" t="n">
        <v>-398</v>
      </c>
      <c r="E32" s="25" t="n">
        <v>-732</v>
      </c>
      <c r="F32" s="25" t="n">
        <v>-872</v>
      </c>
    </row>
    <row r="33">
      <c r="A33" s="3" t="inlineStr">
        <is>
          <t>Operating Cash Flow</t>
        </is>
      </c>
      <c r="C33" s="25" t="n">
        <v>174</v>
      </c>
      <c r="D33" s="25" t="n">
        <v>743</v>
      </c>
      <c r="E33" s="25" t="n">
        <v>1720</v>
      </c>
      <c r="F33" s="25" t="n">
        <v>2287</v>
      </c>
    </row>
    <row r="34">
      <c r="A34" s="3" t="inlineStr">
        <is>
          <t>Dividend Received Cfo</t>
        </is>
      </c>
      <c r="C34" s="25" t="n">
        <v>17</v>
      </c>
      <c r="D34" s="25" t="n">
        <v>29</v>
      </c>
      <c r="E34" s="25" t="n">
        <v>16</v>
      </c>
      <c r="F34" s="25" t="n">
        <v>21</v>
      </c>
    </row>
    <row r="35">
      <c r="A35" s="3" t="inlineStr">
        <is>
          <t>Change In Working Capital</t>
        </is>
      </c>
      <c r="C35" s="25" t="n">
        <v>-573</v>
      </c>
      <c r="D35" s="25" t="n">
        <v>-197</v>
      </c>
      <c r="E35" s="25" t="n">
        <v>434</v>
      </c>
      <c r="F35" s="25" t="n">
        <v>713</v>
      </c>
    </row>
    <row r="36">
      <c r="A36" s="3" t="inlineStr">
        <is>
          <t>Change In Other Current Assets</t>
        </is>
      </c>
      <c r="C36" s="25" t="n">
        <v>-507</v>
      </c>
      <c r="D36" s="25" t="n">
        <v>-217</v>
      </c>
      <c r="E36" s="25" t="n">
        <v>407</v>
      </c>
      <c r="F36" s="25" t="n">
        <v>499</v>
      </c>
    </row>
    <row r="37">
      <c r="A37" s="3" t="inlineStr">
        <is>
          <t>Change In Receivables</t>
        </is>
      </c>
      <c r="C37" s="25" t="n">
        <v>-39</v>
      </c>
      <c r="D37" s="25" t="n">
        <v>39</v>
      </c>
      <c r="E37" s="25" t="n">
        <v>-102</v>
      </c>
      <c r="F37" s="25" t="n">
        <v>93</v>
      </c>
    </row>
    <row r="38">
      <c r="A38" s="3" t="inlineStr">
        <is>
          <t>Other Non Cash Items</t>
        </is>
      </c>
      <c r="C38" s="25" t="n">
        <v>46</v>
      </c>
    </row>
    <row r="39">
      <c r="A39" s="3" t="inlineStr">
        <is>
          <t>Depreciation And Amortization</t>
        </is>
      </c>
      <c r="C39" s="25" t="n">
        <v>250</v>
      </c>
      <c r="D39" s="25" t="n">
        <v>308</v>
      </c>
      <c r="E39" s="25" t="n">
        <v>402</v>
      </c>
      <c r="F39" s="25" t="n">
        <v>501</v>
      </c>
    </row>
    <row r="40">
      <c r="A40" s="3" t="inlineStr">
        <is>
          <t>Amortization Cash Flow</t>
        </is>
      </c>
      <c r="C40" s="25" t="n">
        <v>45</v>
      </c>
      <c r="D40" s="25" t="n">
        <v>87</v>
      </c>
      <c r="E40" s="25" t="n">
        <v>149</v>
      </c>
      <c r="F40" s="25" t="n">
        <v>501</v>
      </c>
    </row>
    <row r="41">
      <c r="A41" s="3" t="inlineStr">
        <is>
          <t>Depreciation</t>
        </is>
      </c>
      <c r="B41" s="25" t="n">
        <v>254</v>
      </c>
      <c r="C41" s="25" t="n">
        <v>205</v>
      </c>
      <c r="D41" s="25" t="n">
        <v>221</v>
      </c>
      <c r="E41" s="25" t="n">
        <v>253</v>
      </c>
    </row>
    <row r="42">
      <c r="A42" s="3" t="inlineStr">
        <is>
          <t>Pension And Employee Benefit Expense</t>
        </is>
      </c>
      <c r="C42" s="25" t="n">
        <v>-62</v>
      </c>
      <c r="D42" s="25" t="n">
        <v>-12</v>
      </c>
      <c r="E42" s="25" t="n">
        <v>-18</v>
      </c>
      <c r="F42" s="25" t="n">
        <v>-28</v>
      </c>
    </row>
    <row r="43">
      <c r="A43" s="3" t="inlineStr">
        <is>
          <t>Gain Loss On Investment Securities</t>
        </is>
      </c>
      <c r="C43" s="25" t="n">
        <v>-5</v>
      </c>
      <c r="D43" s="25" t="n">
        <v>-59</v>
      </c>
      <c r="E43" s="25" t="n">
        <v>103</v>
      </c>
      <c r="F43" s="25" t="n">
        <v>-24</v>
      </c>
    </row>
    <row r="44">
      <c r="A44" s="3" t="inlineStr">
        <is>
          <t>Net Income From Continuing Operations</t>
        </is>
      </c>
      <c r="C44" s="25" t="n">
        <v>540</v>
      </c>
      <c r="D44" s="25" t="n">
        <v>586</v>
      </c>
      <c r="E44" s="25" t="n">
        <v>808</v>
      </c>
      <c r="F44" s="25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2026-10-13T13:59:57Z</dcterms:created>
  <dcterms:modified xmlns:dcterms="http://purl.org/dc/terms/" xmlns:xsi="http://www.w3.org/2001/XMLSchema-instance" xsi:type="dcterms:W3CDTF">2026-10-13T13:59:57Z</dcterms:modified>
</cp:coreProperties>
</file>