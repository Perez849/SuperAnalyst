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IS (reported)" sheetId="9" state="visible" r:id="rId9"/>
    <sheet xmlns:r="http://schemas.openxmlformats.org/officeDocument/2006/relationships" name="BS (reported)" sheetId="10" state="visible" r:id="rId10"/>
    <sheet xmlns:r="http://schemas.openxmlformats.org/officeDocument/2006/relationships" name="CF (reported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Warrior Met Coal, Inc. (HCC)</t>
        </is>
      </c>
    </row>
    <row r="2">
      <c r="A2" s="2" t="inlineStr">
        <is>
          <t>Basic Materials · Cyclical / Commodities (mid-cycle multiples + DCF) · generated 2026-10-13 · data: yfinance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104.2292086294086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HCC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114.8694451681721</v>
      </c>
      <c r="D5" s="6" t="n">
        <v>96.6855709907631</v>
      </c>
      <c r="E5" s="6" t="n">
        <v>135.6936947636777</v>
      </c>
      <c r="F5" s="11" t="n">
        <v>0.3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104.26927</v>
      </c>
      <c r="D6" s="6" t="n">
        <v>85.50080139999999</v>
      </c>
      <c r="E6" s="6" t="n">
        <v>123.0377386</v>
      </c>
      <c r="F6" s="11" t="n">
        <v>0.15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104.9837468831034</v>
      </c>
      <c r="D7" s="6" t="n">
        <v>86.3671579484393</v>
      </c>
      <c r="E7" s="6" t="n">
        <v>123.6003358177674</v>
      </c>
      <c r="F7" s="11" t="n">
        <v>0.25</v>
      </c>
      <c r="G7" s="2" t="inlineStr">
        <is>
          <t>ok</t>
        </is>
      </c>
    </row>
    <row r="8">
      <c r="A8" s="3" t="inlineStr">
        <is>
          <t>Mid-cycle normalized EV/EBITDA</t>
        </is>
      </c>
      <c r="B8" s="2" t="inlineStr">
        <is>
          <t>sector</t>
        </is>
      </c>
      <c r="C8" s="6" t="n">
        <v>63.58703798885752</v>
      </c>
      <c r="D8" s="6" t="n">
        <v>49.59788963130887</v>
      </c>
      <c r="E8" s="6" t="n">
        <v>77.57618634640617</v>
      </c>
      <c r="F8" s="11" t="n">
        <v>0.3</v>
      </c>
      <c r="G8" s="2" t="inlineStr">
        <is>
          <t>ok</t>
        </is>
      </c>
    </row>
    <row r="10">
      <c r="A10" s="3" t="inlineStr">
        <is>
          <t>Weights sum</t>
        </is>
      </c>
      <c r="B10" s="12">
        <f>SUM(F5:F8)</f>
        <v/>
      </c>
    </row>
    <row r="11">
      <c r="A11" s="13" t="inlineStr">
        <is>
          <t>Blended fair value (today)</t>
        </is>
      </c>
      <c r="B11" s="14">
        <f>SUMPRODUCT(C5:C8,F5:F8)/SUM(F5:F8)</f>
        <v/>
      </c>
    </row>
    <row r="12">
      <c r="A12" s="3" t="inlineStr">
        <is>
          <t>Cost of equity (Ke)</t>
        </is>
      </c>
      <c r="B12" s="15" t="n">
        <v>0.08650531009399476</v>
      </c>
    </row>
    <row r="13">
      <c r="A13" s="3" t="inlineStr">
        <is>
          <t>Dividends per share (12m)</t>
        </is>
      </c>
      <c r="B13" s="6" t="n">
        <v>0.32</v>
      </c>
    </row>
    <row r="14">
      <c r="A14" s="3" t="inlineStr">
        <is>
          <t>Model 12-month target = FV×(1+Ke)−DPS</t>
        </is>
      </c>
      <c r="B14" s="16">
        <f>$B$11*(1+$B$12)-$B$13</f>
        <v/>
      </c>
    </row>
    <row r="15">
      <c r="A15" s="3" t="inlineStr">
        <is>
          <t>Street mean target</t>
        </is>
      </c>
      <c r="B15" s="6" t="n">
        <v>109.16667</v>
      </c>
    </row>
    <row r="16">
      <c r="A16" s="3" t="inlineStr">
        <is>
          <t>Street weight in target</t>
        </is>
      </c>
      <c r="B16" s="11" t="n">
        <v>0.15</v>
      </c>
    </row>
    <row r="17">
      <c r="A17" s="13" t="inlineStr">
        <is>
          <t>Published 12-month target</t>
        </is>
      </c>
      <c r="B17" s="17">
        <f>(1-$B$16)*$B$14+$B$16*$B$15</f>
        <v/>
      </c>
    </row>
    <row r="18">
      <c r="A18" s="3" t="inlineStr">
        <is>
          <t>Current price</t>
        </is>
      </c>
      <c r="B18" s="6" t="n">
        <v>93.92</v>
      </c>
    </row>
    <row r="19">
      <c r="A19" s="3" t="inlineStr">
        <is>
          <t>Engine target (incl. plausibility band)</t>
        </is>
      </c>
      <c r="B19" s="6" t="n">
        <v>104.2292086294086</v>
      </c>
    </row>
    <row r="21">
      <c r="A21" s="8" t="inlineStr">
        <is>
          <t>Guardrails</t>
        </is>
      </c>
    </row>
    <row r="22">
      <c r="A22" s="2" t="inlineStr">
        <is>
          <t>Target anchored 15% to the Street consensus ($109.17, 6 analysts); model-only target $103.36.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HCC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2037.2691</v>
      </c>
      <c r="C5" s="18" t="n">
        <v>2289.84855</v>
      </c>
      <c r="D5" s="19" t="n">
        <v>2417.953030262558</v>
      </c>
      <c r="E5" s="19" t="n">
        <v>2529.85392877915</v>
      </c>
      <c r="F5" s="19" t="n">
        <v>2630.119023724568</v>
      </c>
      <c r="G5" s="19" t="n">
        <v>2722.337061484518</v>
      </c>
      <c r="H5" s="19" t="n">
        <v>2809.232441365739</v>
      </c>
      <c r="I5" s="19" t="n">
        <v>2892.830059851095</v>
      </c>
      <c r="J5" s="19" t="n">
        <v>2974.616107115979</v>
      </c>
      <c r="K5" s="19" t="n">
        <v>3048.981509793879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0.2127603466859468</v>
      </c>
      <c r="C7" s="11" t="n">
        <v>0.2201116240247964</v>
      </c>
      <c r="D7" s="11" t="n">
        <v>0.2233909172156254</v>
      </c>
      <c r="E7" s="11" t="n">
        <v>0.2266702104064543</v>
      </c>
      <c r="F7" s="11" t="n">
        <v>0.2299495035972833</v>
      </c>
      <c r="G7" s="11" t="n">
        <v>0.2332287967881122</v>
      </c>
      <c r="H7" s="11" t="n">
        <v>0.2365080899789412</v>
      </c>
      <c r="I7" s="11" t="n">
        <v>0.2397873831697701</v>
      </c>
      <c r="J7" s="11" t="n">
        <v>0.2397873831697701</v>
      </c>
      <c r="K7" s="11" t="n">
        <v>0.2397873831697701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363.02702062588</v>
      </c>
      <c r="C9" s="18" t="n">
        <v>423.49227451219</v>
      </c>
      <c r="D9" s="19" t="n">
        <v>454.4449103525541</v>
      </c>
      <c r="E9" s="19" t="n">
        <v>482.9705422280694</v>
      </c>
      <c r="F9" s="19" t="n">
        <v>509.8325228696778</v>
      </c>
      <c r="G9" s="19" t="n">
        <v>535.6499033878737</v>
      </c>
      <c r="H9" s="19" t="n">
        <v>560.9069189187524</v>
      </c>
      <c r="I9" s="19" t="n">
        <v>585.974712712351</v>
      </c>
      <c r="J9" s="19" t="n">
        <v>602.7773616173168</v>
      </c>
      <c r="K9" s="19" t="n">
        <v>618.0554658130879</v>
      </c>
    </row>
    <row r="10">
      <c r="A10" s="3" t="inlineStr">
        <is>
          <t>EPS</t>
        </is>
      </c>
      <c r="B10" s="16">
        <f>B9*1000000/52802087.0</f>
        <v/>
      </c>
      <c r="C10" s="16">
        <f>C9*1000000/52802087.0</f>
        <v/>
      </c>
      <c r="D10" s="16">
        <f>D9*1000000/52802087.0</f>
        <v/>
      </c>
      <c r="E10" s="16">
        <f>E9*1000000/52802087.0</f>
        <v/>
      </c>
      <c r="F10" s="16">
        <f>F9*1000000/52802087.0</f>
        <v/>
      </c>
      <c r="G10" s="16">
        <f>G9*1000000/52802087.0</f>
        <v/>
      </c>
      <c r="H10" s="16">
        <f>H9*1000000/52802087.0</f>
        <v/>
      </c>
      <c r="I10" s="16">
        <f>I9*1000000/52802087.0</f>
        <v/>
      </c>
      <c r="J10" s="16">
        <f>J9*1000000/52802087.0</f>
        <v/>
      </c>
      <c r="K10" s="16">
        <f>K9*1000000/52802087.0</f>
        <v/>
      </c>
    </row>
    <row r="12">
      <c r="A12" s="13" t="inlineStr">
        <is>
          <t>Levered FCF (mn)</t>
        </is>
      </c>
      <c r="B12" s="20" t="n">
        <v>32.51589621050558</v>
      </c>
      <c r="C12" s="20" t="n">
        <v>114.5177534101619</v>
      </c>
      <c r="D12" s="20" t="n">
        <v>171.3053991916275</v>
      </c>
      <c r="E12" s="20" t="n">
        <v>225.6991954407688</v>
      </c>
      <c r="F12" s="20" t="n">
        <v>282.5340579318536</v>
      </c>
      <c r="G12" s="20" t="n">
        <v>341.7059304036123</v>
      </c>
      <c r="H12" s="20" t="n">
        <v>403.2322381010868</v>
      </c>
      <c r="I12" s="20" t="n">
        <v>467.1998892311488</v>
      </c>
      <c r="J12" s="20" t="n">
        <v>525.3751915568824</v>
      </c>
      <c r="K12" s="20" t="n">
        <v>584.8264551480115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HCC — Assumptions &amp; Drivers</t>
        </is>
      </c>
    </row>
    <row r="2">
      <c r="A2" s="2" t="inlineStr">
        <is>
          <t>Blue cells are inputs — change them and the whole model recalculates. Source: yfinance,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93.92</v>
      </c>
    </row>
    <row r="6">
      <c r="A6" s="3" t="inlineStr">
        <is>
          <t>Diluted shares (mn)</t>
        </is>
      </c>
      <c r="B6" s="18" t="n">
        <v>52.802087</v>
      </c>
    </row>
    <row r="7">
      <c r="A7" s="3" t="inlineStr">
        <is>
          <t>Total debt (USDmm)</t>
        </is>
      </c>
      <c r="B7" s="18" t="n">
        <v>270.936</v>
      </c>
    </row>
    <row r="8">
      <c r="A8" s="3" t="inlineStr">
        <is>
          <t>Cash &amp; ST investments (USDmm)</t>
        </is>
      </c>
      <c r="B8" s="18" t="n">
        <v>353.215</v>
      </c>
    </row>
    <row r="9">
      <c r="A9" s="3" t="inlineStr">
        <is>
          <t>Minority interest (USDmm)</t>
        </is>
      </c>
      <c r="B9" s="18" t="n">
        <v>0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0.95</v>
      </c>
    </row>
    <row r="18">
      <c r="A18" s="3" t="inlineStr">
        <is>
          <t>Pre-tax cost of debt</t>
        </is>
      </c>
      <c r="B18" s="15" t="n">
        <v>0.05499999999999999</v>
      </c>
    </row>
    <row r="19">
      <c r="A19" s="3" t="inlineStr">
        <is>
          <t>Tax rate</t>
        </is>
      </c>
      <c r="B19" s="11" t="n">
        <v>0.1432143077881826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0.5551162061092652</v>
      </c>
      <c r="C26" s="11" t="n">
        <v>0.1239794242203938</v>
      </c>
      <c r="D26" s="11" t="n">
        <v>0.05594452098701345</v>
      </c>
      <c r="E26" s="11" t="n">
        <v>0.04627918620257146</v>
      </c>
      <c r="F26" s="11" t="n">
        <v>0.03963276053404532</v>
      </c>
      <c r="G26" s="11" t="n">
        <v>0.03506230589874906</v>
      </c>
      <c r="H26" s="11" t="n">
        <v>0.0319194052458131</v>
      </c>
      <c r="I26" s="11" t="n">
        <v>0.02975817068548254</v>
      </c>
      <c r="J26" s="11" t="n">
        <v>0.02827198472526015</v>
      </c>
      <c r="K26" s="11" t="n">
        <v>0.025</v>
      </c>
    </row>
    <row r="27">
      <c r="A27" s="3" t="inlineStr">
        <is>
          <t>EBIT margin</t>
        </is>
      </c>
      <c r="B27" s="11" t="n">
        <v>0.2127603466859468</v>
      </c>
      <c r="C27" s="11" t="n">
        <v>0.2201116240247964</v>
      </c>
      <c r="D27" s="11" t="n">
        <v>0.2233909172156254</v>
      </c>
      <c r="E27" s="11" t="n">
        <v>0.2266702104064543</v>
      </c>
      <c r="F27" s="11" t="n">
        <v>0.2299495035972833</v>
      </c>
      <c r="G27" s="11" t="n">
        <v>0.2332287967881122</v>
      </c>
      <c r="H27" s="11" t="n">
        <v>0.2365080899789412</v>
      </c>
      <c r="I27" s="11" t="n">
        <v>0.2397873831697701</v>
      </c>
      <c r="J27" s="11" t="n">
        <v>0.2397873831697701</v>
      </c>
      <c r="K27" s="11" t="n">
        <v>0.2397873831697701</v>
      </c>
    </row>
    <row r="28">
      <c r="A28" s="3" t="inlineStr">
        <is>
          <t>D&amp;A % of revenue</t>
        </is>
      </c>
      <c r="B28" s="11" t="n">
        <v>0.0967888471490813</v>
      </c>
      <c r="C28" s="11" t="n">
        <v>0.0967888471490813</v>
      </c>
      <c r="D28" s="11" t="n">
        <v>0.0967888471490813</v>
      </c>
      <c r="E28" s="11" t="n">
        <v>0.0967888471490813</v>
      </c>
      <c r="F28" s="11" t="n">
        <v>0.0967888471490813</v>
      </c>
      <c r="G28" s="11" t="n">
        <v>0.0967888471490813</v>
      </c>
      <c r="H28" s="11" t="n">
        <v>0.0967888471490813</v>
      </c>
      <c r="I28" s="11" t="n">
        <v>0.0967888471490813</v>
      </c>
      <c r="J28" s="11" t="n">
        <v>0.0967888471490813</v>
      </c>
      <c r="K28" s="11" t="n">
        <v>0.0967888471490813</v>
      </c>
    </row>
    <row r="29">
      <c r="A29" s="3" t="inlineStr">
        <is>
          <t>Capex % of revenue</t>
        </is>
      </c>
      <c r="B29" s="11" t="n">
        <v>0.241173219059191</v>
      </c>
      <c r="C29" s="11" t="n">
        <v>0.2262059427041685</v>
      </c>
      <c r="D29" s="11" t="n">
        <v>0.2112386663491462</v>
      </c>
      <c r="E29" s="11" t="n">
        <v>0.1962713899941238</v>
      </c>
      <c r="F29" s="11" t="n">
        <v>0.1813041136391014</v>
      </c>
      <c r="G29" s="11" t="n">
        <v>0.166336837284079</v>
      </c>
      <c r="H29" s="11" t="n">
        <v>0.1513695609290566</v>
      </c>
      <c r="I29" s="11" t="n">
        <v>0.1364022845740342</v>
      </c>
      <c r="J29" s="11" t="n">
        <v>0.1214350082190118</v>
      </c>
      <c r="K29" s="11" t="n">
        <v>0.1064677318639894</v>
      </c>
    </row>
    <row r="30">
      <c r="A30" s="3" t="inlineStr">
        <is>
          <t>ΔNWC % of Δrevenue</t>
        </is>
      </c>
      <c r="B30" s="11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1738.738</v>
      </c>
      <c r="C5" s="25" t="n">
        <v>1676.625</v>
      </c>
      <c r="D5" s="25" t="n">
        <v>1525.22</v>
      </c>
      <c r="E5" s="25" t="n">
        <v>1310.043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837.016</v>
      </c>
      <c r="C7" s="25" t="n">
        <v>549.697</v>
      </c>
      <c r="D7" s="25" t="n">
        <v>255.414</v>
      </c>
      <c r="E7" s="25" t="n">
        <v>45.728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115.279</v>
      </c>
      <c r="C9" s="25" t="n">
        <v>127.356</v>
      </c>
      <c r="D9" s="25" t="n">
        <v>153.982</v>
      </c>
      <c r="E9" s="25" t="n">
        <v>188.565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208.742</v>
      </c>
      <c r="C12" s="25" t="n">
        <v>491.674</v>
      </c>
      <c r="D12" s="25" t="n">
        <v>457.221</v>
      </c>
      <c r="E12" s="25" t="n">
        <v>329.624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83.249</v>
      </c>
      <c r="C13" s="25" t="n">
        <v>-5.717</v>
      </c>
      <c r="D13" s="25" t="n">
        <v>60.015</v>
      </c>
      <c r="E13" s="25" t="n">
        <v>30.035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2059.106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0.06946519397344908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0.07696519397344909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0.08446519397344908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0.09196519397344907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0.09946519397344908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HCC — IS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Tax Effect Of Unusual Items</t>
        </is>
      </c>
      <c r="C5" s="25" t="n">
        <v>-6.442152</v>
      </c>
      <c r="D5" s="25" t="n">
        <v>-2.63868</v>
      </c>
      <c r="E5" s="25" t="n">
        <v>-0.061308</v>
      </c>
      <c r="F5" s="25" t="n">
        <v>-0.00399</v>
      </c>
    </row>
    <row r="6">
      <c r="A6" s="3" t="inlineStr">
        <is>
          <t>Tax Rate For Calcs</t>
        </is>
      </c>
      <c r="C6" s="25" t="n">
        <v>1.81e-07</v>
      </c>
      <c r="D6" s="25" t="n">
        <v>1.32e-07</v>
      </c>
      <c r="E6" s="25" t="n">
        <v>1.17e-07</v>
      </c>
      <c r="F6" s="25" t="n">
        <v>2.1e-07</v>
      </c>
    </row>
    <row r="7">
      <c r="A7" s="3" t="inlineStr">
        <is>
          <t>Normalized EBITDA</t>
        </is>
      </c>
      <c r="C7" s="25" t="n">
        <v>965.408</v>
      </c>
      <c r="D7" s="25" t="n">
        <v>716.725</v>
      </c>
      <c r="E7" s="25" t="n">
        <v>442.443</v>
      </c>
      <c r="F7" s="25" t="n">
        <v>252.77</v>
      </c>
    </row>
    <row r="8">
      <c r="A8" s="3" t="inlineStr">
        <is>
          <t>Total Unusual Items</t>
        </is>
      </c>
      <c r="C8" s="25" t="n">
        <v>-35.592</v>
      </c>
      <c r="D8" s="25" t="n">
        <v>-19.99</v>
      </c>
      <c r="E8" s="25" t="n">
        <v>-0.524</v>
      </c>
      <c r="F8" s="25" t="n">
        <v>-0.019</v>
      </c>
    </row>
    <row r="9">
      <c r="A9" s="3" t="inlineStr">
        <is>
          <t>Total Unusual Items Excluding Goodwill</t>
        </is>
      </c>
      <c r="C9" s="25" t="n">
        <v>-35.592</v>
      </c>
      <c r="D9" s="25" t="n">
        <v>-19.99</v>
      </c>
      <c r="E9" s="25" t="n">
        <v>-0.524</v>
      </c>
      <c r="F9" s="25" t="n">
        <v>-0.019</v>
      </c>
    </row>
    <row r="10">
      <c r="A10" s="3" t="inlineStr">
        <is>
          <t>Net Income From Continuing Operation Net Minority Interest</t>
        </is>
      </c>
      <c r="C10" s="25" t="n">
        <v>641.298</v>
      </c>
      <c r="D10" s="25" t="n">
        <v>478.629</v>
      </c>
      <c r="E10" s="25" t="n">
        <v>250.603</v>
      </c>
      <c r="F10" s="25" t="n">
        <v>56.998</v>
      </c>
    </row>
    <row r="11">
      <c r="A11" s="3" t="inlineStr">
        <is>
          <t>Reconciled Depreciation</t>
        </is>
      </c>
      <c r="C11" s="25" t="n">
        <v>115.279</v>
      </c>
      <c r="D11" s="25" t="n">
        <v>127.356</v>
      </c>
      <c r="E11" s="25" t="n">
        <v>153.982</v>
      </c>
      <c r="F11" s="25" t="n">
        <v>188.565</v>
      </c>
    </row>
    <row r="12">
      <c r="A12" s="3" t="inlineStr">
        <is>
          <t>Reconciled Cost Of Revenue</t>
        </is>
      </c>
      <c r="C12" s="25" t="n">
        <v>852.931</v>
      </c>
      <c r="D12" s="25" t="n">
        <v>1075.111</v>
      </c>
      <c r="E12" s="25" t="n">
        <v>1206.728</v>
      </c>
      <c r="F12" s="25" t="n">
        <v>1198.634</v>
      </c>
    </row>
    <row r="13">
      <c r="A13" s="3" t="inlineStr">
        <is>
          <t>EBITDA</t>
        </is>
      </c>
      <c r="C13" s="25" t="n">
        <v>929.816</v>
      </c>
      <c r="D13" s="25" t="n">
        <v>696.735</v>
      </c>
      <c r="E13" s="25" t="n">
        <v>441.919</v>
      </c>
      <c r="F13" s="25" t="n">
        <v>252.751</v>
      </c>
    </row>
    <row r="14">
      <c r="A14" s="3" t="inlineStr">
        <is>
          <t>EBIT</t>
        </is>
      </c>
      <c r="C14" s="25" t="n">
        <v>814.537</v>
      </c>
      <c r="D14" s="25" t="n">
        <v>569.379</v>
      </c>
      <c r="E14" s="25" t="n">
        <v>287.937</v>
      </c>
      <c r="F14" s="25" t="n">
        <v>64.18600000000001</v>
      </c>
    </row>
    <row r="15">
      <c r="A15" s="3" t="inlineStr">
        <is>
          <t>Net Interest Income</t>
        </is>
      </c>
      <c r="C15" s="25" t="n">
        <v>-18.995</v>
      </c>
      <c r="D15" s="25" t="n">
        <v>22.739</v>
      </c>
      <c r="E15" s="25" t="n">
        <v>28.776</v>
      </c>
      <c r="F15" s="25" t="n">
        <v>8.734999999999999</v>
      </c>
    </row>
    <row r="16">
      <c r="A16" s="3" t="inlineStr">
        <is>
          <t>Interest Expense</t>
        </is>
      </c>
      <c r="C16" s="25" t="n">
        <v>31.433</v>
      </c>
      <c r="D16" s="25" t="n">
        <v>17.96</v>
      </c>
      <c r="E16" s="25" t="n">
        <v>4.271</v>
      </c>
      <c r="F16" s="25" t="n">
        <v>9.742000000000001</v>
      </c>
    </row>
    <row r="17">
      <c r="A17" s="3" t="inlineStr">
        <is>
          <t>Interest Income</t>
        </is>
      </c>
      <c r="C17" s="25" t="n">
        <v>12.438</v>
      </c>
      <c r="D17" s="25" t="n">
        <v>40.699</v>
      </c>
      <c r="E17" s="25" t="n">
        <v>33.047</v>
      </c>
      <c r="F17" s="25" t="n">
        <v>18.477</v>
      </c>
    </row>
    <row r="18">
      <c r="A18" s="3" t="inlineStr">
        <is>
          <t>Normalized Income</t>
        </is>
      </c>
      <c r="C18" s="25" t="n">
        <v>670.447848</v>
      </c>
      <c r="D18" s="25" t="n">
        <v>495.98032</v>
      </c>
      <c r="E18" s="25" t="n">
        <v>251.065692</v>
      </c>
      <c r="F18" s="25" t="n">
        <v>57.01301</v>
      </c>
    </row>
    <row r="19">
      <c r="A19" s="3" t="inlineStr">
        <is>
          <t>Net Income From Continuing And Discontinued Operation</t>
        </is>
      </c>
      <c r="C19" s="25" t="n">
        <v>641.298</v>
      </c>
      <c r="D19" s="25" t="n">
        <v>478.629</v>
      </c>
      <c r="E19" s="25" t="n">
        <v>250.603</v>
      </c>
      <c r="F19" s="25" t="n">
        <v>56.998</v>
      </c>
    </row>
    <row r="20">
      <c r="A20" s="3" t="inlineStr">
        <is>
          <t>Total Expenses</t>
        </is>
      </c>
      <c r="C20" s="25" t="n">
        <v>901.722</v>
      </c>
      <c r="D20" s="25" t="n">
        <v>1126.928</v>
      </c>
      <c r="E20" s="25" t="n">
        <v>1269.806</v>
      </c>
      <c r="F20" s="25" t="n">
        <v>1264.315</v>
      </c>
    </row>
    <row r="21">
      <c r="A21" s="3" t="inlineStr">
        <is>
          <t>Total Operating Income As Reported</t>
        </is>
      </c>
      <c r="C21" s="25" t="n">
        <v>801.424</v>
      </c>
      <c r="D21" s="25" t="n">
        <v>541.4059999999999</v>
      </c>
      <c r="E21" s="25" t="n">
        <v>254.89</v>
      </c>
      <c r="F21" s="25" t="n">
        <v>45.709</v>
      </c>
    </row>
    <row r="22">
      <c r="A22" s="3" t="inlineStr">
        <is>
          <t>Diluted Average Shares</t>
        </is>
      </c>
      <c r="C22" s="25" t="n">
        <v>51.715</v>
      </c>
      <c r="D22" s="25" t="n">
        <v>52.045</v>
      </c>
      <c r="E22" s="25" t="n">
        <v>52.345</v>
      </c>
      <c r="F22" s="25" t="n">
        <v>52.603</v>
      </c>
    </row>
    <row r="23">
      <c r="A23" s="3" t="inlineStr">
        <is>
          <t>Basic Average Shares</t>
        </is>
      </c>
      <c r="C23" s="25" t="n">
        <v>51.622</v>
      </c>
      <c r="D23" s="25" t="n">
        <v>51.973</v>
      </c>
      <c r="E23" s="25" t="n">
        <v>52.287</v>
      </c>
      <c r="F23" s="25" t="n">
        <v>52.56</v>
      </c>
    </row>
    <row r="24">
      <c r="A24" s="3" t="inlineStr">
        <is>
          <t>Diluted EPS</t>
        </is>
      </c>
      <c r="C24" s="25" t="n">
        <v>1.24e-05</v>
      </c>
      <c r="D24" s="25" t="n">
        <v>9.2e-06</v>
      </c>
      <c r="E24" s="25" t="n">
        <v>4.79e-06</v>
      </c>
      <c r="F24" s="25" t="n">
        <v>1.08e-06</v>
      </c>
    </row>
    <row r="25">
      <c r="A25" s="3" t="inlineStr">
        <is>
          <t>Basic EPS</t>
        </is>
      </c>
      <c r="C25" s="25" t="n">
        <v>1.242e-05</v>
      </c>
      <c r="D25" s="25" t="n">
        <v>9.210000000000002e-06</v>
      </c>
      <c r="E25" s="25" t="n">
        <v>4.79e-06</v>
      </c>
      <c r="F25" s="25" t="n">
        <v>1.08e-06</v>
      </c>
    </row>
    <row r="26">
      <c r="A26" s="3" t="inlineStr">
        <is>
          <t>Diluted NI Availto Com Stockholders</t>
        </is>
      </c>
      <c r="C26" s="25" t="n">
        <v>641.298</v>
      </c>
      <c r="D26" s="25" t="n">
        <v>478.629</v>
      </c>
      <c r="E26" s="25" t="n">
        <v>250.603</v>
      </c>
      <c r="F26" s="25" t="n">
        <v>56.998</v>
      </c>
    </row>
    <row r="27">
      <c r="A27" s="3" t="inlineStr">
        <is>
          <t>Net Income Common Stockholders</t>
        </is>
      </c>
      <c r="C27" s="25" t="n">
        <v>641.298</v>
      </c>
      <c r="D27" s="25" t="n">
        <v>478.629</v>
      </c>
      <c r="E27" s="25" t="n">
        <v>250.603</v>
      </c>
      <c r="F27" s="25" t="n">
        <v>56.998</v>
      </c>
    </row>
    <row r="28">
      <c r="A28" s="3" t="inlineStr">
        <is>
          <t>Net Income</t>
        </is>
      </c>
      <c r="C28" s="25" t="n">
        <v>641.298</v>
      </c>
      <c r="D28" s="25" t="n">
        <v>478.629</v>
      </c>
      <c r="E28" s="25" t="n">
        <v>250.603</v>
      </c>
      <c r="F28" s="25" t="n">
        <v>56.998</v>
      </c>
    </row>
    <row r="29">
      <c r="A29" s="3" t="inlineStr">
        <is>
          <t>Net Income Including Noncontrolling Interests</t>
        </is>
      </c>
      <c r="C29" s="25" t="n">
        <v>641.298</v>
      </c>
      <c r="D29" s="25" t="n">
        <v>478.629</v>
      </c>
      <c r="E29" s="25" t="n">
        <v>250.603</v>
      </c>
      <c r="F29" s="25" t="n">
        <v>56.998</v>
      </c>
    </row>
    <row r="30">
      <c r="A30" s="3" t="inlineStr">
        <is>
          <t>Net Income Continuous Operations</t>
        </is>
      </c>
      <c r="C30" s="25" t="n">
        <v>641.298</v>
      </c>
      <c r="D30" s="25" t="n">
        <v>478.629</v>
      </c>
      <c r="E30" s="25" t="n">
        <v>250.603</v>
      </c>
      <c r="F30" s="25" t="n">
        <v>56.998</v>
      </c>
    </row>
    <row r="31">
      <c r="A31" s="3" t="inlineStr">
        <is>
          <t>Tax Provision</t>
        </is>
      </c>
      <c r="C31" s="25" t="n">
        <v>141.806</v>
      </c>
      <c r="D31" s="25" t="n">
        <v>72.79000000000001</v>
      </c>
      <c r="E31" s="25" t="n">
        <v>33.063</v>
      </c>
      <c r="F31" s="25" t="n">
        <v>-2.554</v>
      </c>
    </row>
    <row r="32">
      <c r="A32" s="3" t="inlineStr">
        <is>
          <t>Pretax Income</t>
        </is>
      </c>
      <c r="C32" s="25" t="n">
        <v>783.104</v>
      </c>
      <c r="D32" s="25" t="n">
        <v>551.419</v>
      </c>
      <c r="E32" s="25" t="n">
        <v>283.666</v>
      </c>
      <c r="F32" s="25" t="n">
        <v>54.444</v>
      </c>
    </row>
    <row r="33">
      <c r="A33" s="3" t="inlineStr">
        <is>
          <t>Other Income Expense</t>
        </is>
      </c>
      <c r="C33" s="25" t="n">
        <v>-34.917</v>
      </c>
      <c r="D33" s="25" t="n">
        <v>-21.017</v>
      </c>
      <c r="E33" s="25" t="n">
        <v>-0.524</v>
      </c>
      <c r="F33" s="25" t="n">
        <v>-0.019</v>
      </c>
    </row>
    <row r="34">
      <c r="A34" s="3" t="inlineStr">
        <is>
          <t>Other Non Operating Income Expenses</t>
        </is>
      </c>
      <c r="B34" s="25" t="n">
        <v>1.291</v>
      </c>
      <c r="C34" s="25" t="n">
        <v>0.675</v>
      </c>
      <c r="D34" s="25" t="n">
        <v>-1.027</v>
      </c>
    </row>
    <row r="35">
      <c r="A35" s="3" t="inlineStr">
        <is>
          <t>Special Income Charges</t>
        </is>
      </c>
      <c r="C35" s="25" t="n">
        <v>-35.592</v>
      </c>
      <c r="D35" s="25" t="n">
        <v>-19.99</v>
      </c>
      <c r="E35" s="25" t="n">
        <v>-0.524</v>
      </c>
      <c r="F35" s="25" t="n">
        <v>-0.019</v>
      </c>
    </row>
    <row r="36">
      <c r="A36" s="3" t="inlineStr">
        <is>
          <t>Other Special Charges</t>
        </is>
      </c>
      <c r="C36" s="25" t="n">
        <v>35.592</v>
      </c>
      <c r="D36" s="25" t="n">
        <v>19.99</v>
      </c>
      <c r="E36" s="25" t="n">
        <v>0.524</v>
      </c>
      <c r="F36" s="25" t="n">
        <v>0.019</v>
      </c>
    </row>
    <row r="37">
      <c r="A37" s="3" t="inlineStr">
        <is>
          <t>Net Non Operating Interest Income Expense</t>
        </is>
      </c>
      <c r="C37" s="25" t="n">
        <v>-18.995</v>
      </c>
      <c r="D37" s="25" t="n">
        <v>22.739</v>
      </c>
      <c r="E37" s="25" t="n">
        <v>28.776</v>
      </c>
      <c r="F37" s="25" t="n">
        <v>8.734999999999999</v>
      </c>
    </row>
    <row r="38">
      <c r="A38" s="3" t="inlineStr">
        <is>
          <t>Interest Expense Non Operating</t>
        </is>
      </c>
      <c r="C38" s="25" t="n">
        <v>31.433</v>
      </c>
      <c r="D38" s="25" t="n">
        <v>17.96</v>
      </c>
      <c r="E38" s="25" t="n">
        <v>4.271</v>
      </c>
      <c r="F38" s="25" t="n">
        <v>9.742000000000001</v>
      </c>
    </row>
    <row r="39">
      <c r="A39" s="3" t="inlineStr">
        <is>
          <t>Interest Income Non Operating</t>
        </is>
      </c>
      <c r="C39" s="25" t="n">
        <v>12.438</v>
      </c>
      <c r="D39" s="25" t="n">
        <v>40.699</v>
      </c>
      <c r="E39" s="25" t="n">
        <v>33.047</v>
      </c>
      <c r="F39" s="25" t="n">
        <v>18.477</v>
      </c>
    </row>
    <row r="40">
      <c r="A40" s="3" t="inlineStr">
        <is>
          <t>Operating Income</t>
        </is>
      </c>
      <c r="C40" s="25" t="n">
        <v>837.016</v>
      </c>
      <c r="D40" s="25" t="n">
        <v>549.697</v>
      </c>
      <c r="E40" s="25" t="n">
        <v>255.414</v>
      </c>
      <c r="F40" s="25" t="n">
        <v>45.728</v>
      </c>
    </row>
    <row r="41">
      <c r="A41" s="3" t="inlineStr">
        <is>
          <t>Operating Expense</t>
        </is>
      </c>
      <c r="C41" s="25" t="n">
        <v>48.791</v>
      </c>
      <c r="D41" s="25" t="n">
        <v>51.817</v>
      </c>
      <c r="E41" s="25" t="n">
        <v>63.078</v>
      </c>
      <c r="F41" s="25" t="n">
        <v>65.681</v>
      </c>
    </row>
    <row r="42">
      <c r="A42" s="3" t="inlineStr">
        <is>
          <t>Depreciation Amortization Depletion Income Statement</t>
        </is>
      </c>
      <c r="B42" s="25" t="n">
        <v>141.418</v>
      </c>
      <c r="C42" s="25" t="n">
        <v>115.279</v>
      </c>
    </row>
    <row r="43">
      <c r="A43" s="3" t="inlineStr">
        <is>
          <t>Selling General And Administration</t>
        </is>
      </c>
      <c r="C43" s="25" t="n">
        <v>48.791</v>
      </c>
      <c r="D43" s="25" t="n">
        <v>51.817</v>
      </c>
      <c r="E43" s="25" t="n">
        <v>63.078</v>
      </c>
      <c r="F43" s="25" t="n">
        <v>65.681</v>
      </c>
    </row>
    <row r="44">
      <c r="A44" s="3" t="inlineStr">
        <is>
          <t>Gross Profit</t>
        </is>
      </c>
      <c r="C44" s="25" t="n">
        <v>885.807</v>
      </c>
      <c r="D44" s="25" t="n">
        <v>601.514</v>
      </c>
      <c r="E44" s="25" t="n">
        <v>318.492</v>
      </c>
      <c r="F44" s="25" t="n">
        <v>111.409</v>
      </c>
    </row>
    <row r="45">
      <c r="A45" s="3" t="inlineStr">
        <is>
          <t>Cost Of Revenue</t>
        </is>
      </c>
      <c r="C45" s="25" t="n">
        <v>852.931</v>
      </c>
      <c r="D45" s="25" t="n">
        <v>1075.111</v>
      </c>
      <c r="E45" s="25" t="n">
        <v>1206.728</v>
      </c>
      <c r="F45" s="25" t="n">
        <v>1198.634</v>
      </c>
    </row>
    <row r="46">
      <c r="A46" s="3" t="inlineStr">
        <is>
          <t>Total Revenue</t>
        </is>
      </c>
      <c r="C46" s="25" t="n">
        <v>1738.738</v>
      </c>
      <c r="D46" s="25" t="n">
        <v>1676.625</v>
      </c>
      <c r="E46" s="25" t="n">
        <v>1525.22</v>
      </c>
      <c r="F46" s="25" t="n">
        <v>1310.043</v>
      </c>
    </row>
    <row r="47">
      <c r="A47" s="3" t="inlineStr">
        <is>
          <t>Operating Revenue</t>
        </is>
      </c>
      <c r="C47" s="25" t="n">
        <v>1707.579</v>
      </c>
      <c r="D47" s="25" t="n">
        <v>1647.992</v>
      </c>
      <c r="E47" s="25" t="n">
        <v>1499.98</v>
      </c>
      <c r="F47" s="25" t="n">
        <v>1277.024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HCC — BS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Treasury Shares Number</t>
        </is>
      </c>
      <c r="C5" s="25" t="n">
        <v>2.221841</v>
      </c>
      <c r="D5" s="25" t="n">
        <v>2.221841</v>
      </c>
      <c r="E5" s="25" t="n">
        <v>2.221841</v>
      </c>
      <c r="F5" s="25" t="n">
        <v>2.221841</v>
      </c>
    </row>
    <row r="6">
      <c r="A6" s="3" t="inlineStr">
        <is>
          <t>Ordinary Shares Number</t>
        </is>
      </c>
      <c r="C6" s="25" t="n">
        <v>51.653568</v>
      </c>
      <c r="D6" s="25" t="n">
        <v>52.018923</v>
      </c>
      <c r="E6" s="25" t="n">
        <v>52.311533</v>
      </c>
      <c r="F6" s="25" t="n">
        <v>52.570156</v>
      </c>
    </row>
    <row r="7">
      <c r="A7" s="3" t="inlineStr">
        <is>
          <t>Share Issued</t>
        </is>
      </c>
      <c r="C7" s="25" t="n">
        <v>53.875409</v>
      </c>
      <c r="D7" s="25" t="n">
        <v>54.240764</v>
      </c>
      <c r="E7" s="25" t="n">
        <v>54.533374</v>
      </c>
      <c r="F7" s="25" t="n">
        <v>54.791997</v>
      </c>
    </row>
    <row r="8">
      <c r="A8" s="3" t="inlineStr">
        <is>
          <t>Total Debt</t>
        </is>
      </c>
      <c r="C8" s="25" t="n">
        <v>335.679</v>
      </c>
      <c r="D8" s="25" t="n">
        <v>173.242</v>
      </c>
      <c r="E8" s="25" t="n">
        <v>173.037</v>
      </c>
      <c r="F8" s="25" t="n">
        <v>270.936</v>
      </c>
    </row>
    <row r="9">
      <c r="A9" s="3" t="inlineStr">
        <is>
          <t>Tangible Book Value</t>
        </is>
      </c>
      <c r="C9" s="25" t="n">
        <v>1447.515</v>
      </c>
      <c r="D9" s="25" t="n">
        <v>1874.446</v>
      </c>
      <c r="E9" s="25" t="n">
        <v>2090.817</v>
      </c>
      <c r="F9" s="25" t="n">
        <v>2141.385</v>
      </c>
    </row>
    <row r="10">
      <c r="A10" s="3" t="inlineStr">
        <is>
          <t>Invested Capital</t>
        </is>
      </c>
      <c r="C10" s="25" t="n">
        <v>1750.103</v>
      </c>
      <c r="D10" s="25" t="n">
        <v>2027.469</v>
      </c>
      <c r="E10" s="25" t="n">
        <v>2244.429</v>
      </c>
      <c r="F10" s="25" t="n">
        <v>2295.637</v>
      </c>
    </row>
    <row r="11">
      <c r="A11" s="3" t="inlineStr">
        <is>
          <t>Working Capital</t>
        </is>
      </c>
      <c r="C11" s="25" t="n">
        <v>1019.985</v>
      </c>
      <c r="D11" s="25" t="n">
        <v>921.496</v>
      </c>
      <c r="E11" s="25" t="n">
        <v>716.6319999999999</v>
      </c>
      <c r="F11" s="25" t="n">
        <v>563.234</v>
      </c>
    </row>
    <row r="12">
      <c r="A12" s="3" t="inlineStr">
        <is>
          <t>Net Tangible Assets</t>
        </is>
      </c>
      <c r="C12" s="25" t="n">
        <v>1447.515</v>
      </c>
      <c r="D12" s="25" t="n">
        <v>1874.446</v>
      </c>
      <c r="E12" s="25" t="n">
        <v>2090.817</v>
      </c>
      <c r="F12" s="25" t="n">
        <v>2141.385</v>
      </c>
    </row>
    <row r="13">
      <c r="A13" s="3" t="inlineStr">
        <is>
          <t>Capital Lease Obligations</t>
        </is>
      </c>
      <c r="C13" s="25" t="n">
        <v>33.091</v>
      </c>
      <c r="D13" s="25" t="n">
        <v>20.219</v>
      </c>
      <c r="E13" s="25" t="n">
        <v>19.425</v>
      </c>
      <c r="F13" s="25" t="n">
        <v>116.684</v>
      </c>
    </row>
    <row r="14">
      <c r="A14" s="3" t="inlineStr">
        <is>
          <t>Common Stock Equity</t>
        </is>
      </c>
      <c r="C14" s="25" t="n">
        <v>1447.515</v>
      </c>
      <c r="D14" s="25" t="n">
        <v>1874.446</v>
      </c>
      <c r="E14" s="25" t="n">
        <v>2090.817</v>
      </c>
      <c r="F14" s="25" t="n">
        <v>2141.385</v>
      </c>
    </row>
    <row r="15">
      <c r="A15" s="3" t="inlineStr">
        <is>
          <t>Total Capitalization</t>
        </is>
      </c>
      <c r="C15" s="25" t="n">
        <v>1750.103</v>
      </c>
      <c r="D15" s="25" t="n">
        <v>2027.469</v>
      </c>
      <c r="E15" s="25" t="n">
        <v>2244.429</v>
      </c>
      <c r="F15" s="25" t="n">
        <v>2295.637</v>
      </c>
    </row>
    <row r="16">
      <c r="A16" s="3" t="inlineStr">
        <is>
          <t>Total Equity Gross Minority Interest</t>
        </is>
      </c>
      <c r="C16" s="25" t="n">
        <v>1447.515</v>
      </c>
      <c r="D16" s="25" t="n">
        <v>1874.446</v>
      </c>
      <c r="E16" s="25" t="n">
        <v>2090.817</v>
      </c>
      <c r="F16" s="25" t="n">
        <v>2141.385</v>
      </c>
    </row>
    <row r="17">
      <c r="A17" s="3" t="inlineStr">
        <is>
          <t>Stockholders Equity</t>
        </is>
      </c>
      <c r="C17" s="25" t="n">
        <v>1447.515</v>
      </c>
      <c r="D17" s="25" t="n">
        <v>1874.446</v>
      </c>
      <c r="E17" s="25" t="n">
        <v>2090.817</v>
      </c>
      <c r="F17" s="25" t="n">
        <v>2141.385</v>
      </c>
    </row>
    <row r="18">
      <c r="A18" s="3" t="inlineStr">
        <is>
          <t>Treasury Stock</t>
        </is>
      </c>
      <c r="C18" s="25" t="n">
        <v>50.576</v>
      </c>
      <c r="D18" s="25" t="n">
        <v>50.576</v>
      </c>
      <c r="E18" s="25" t="n">
        <v>50.576</v>
      </c>
      <c r="F18" s="25" t="n">
        <v>50.576</v>
      </c>
    </row>
    <row r="19">
      <c r="A19" s="3" t="inlineStr">
        <is>
          <t>Retained Earnings</t>
        </is>
      </c>
      <c r="C19" s="25" t="n">
        <v>1227.596</v>
      </c>
      <c r="D19" s="25" t="n">
        <v>1645.148</v>
      </c>
      <c r="E19" s="25" t="n">
        <v>1851.04</v>
      </c>
      <c r="F19" s="25" t="n">
        <v>1890.703</v>
      </c>
    </row>
    <row r="20">
      <c r="A20" s="3" t="inlineStr">
        <is>
          <t>Additional Paid In Capital</t>
        </is>
      </c>
      <c r="C20" s="25" t="n">
        <v>269.956</v>
      </c>
      <c r="D20" s="25" t="n">
        <v>279.332</v>
      </c>
      <c r="E20" s="25" t="n">
        <v>289.808</v>
      </c>
      <c r="F20" s="25" t="n">
        <v>300.71</v>
      </c>
    </row>
    <row r="21">
      <c r="A21" s="3" t="inlineStr">
        <is>
          <t>Capital Stock</t>
        </is>
      </c>
      <c r="C21" s="25" t="n">
        <v>0.539</v>
      </c>
      <c r="D21" s="25" t="n">
        <v>0.542</v>
      </c>
      <c r="E21" s="25" t="n">
        <v>0.545</v>
      </c>
      <c r="F21" s="25" t="n">
        <v>0.548</v>
      </c>
    </row>
    <row r="22">
      <c r="A22" s="3" t="inlineStr">
        <is>
          <t>Common Stock</t>
        </is>
      </c>
      <c r="C22" s="25" t="n">
        <v>0.539</v>
      </c>
      <c r="D22" s="25" t="n">
        <v>0.542</v>
      </c>
      <c r="E22" s="25" t="n">
        <v>0.545</v>
      </c>
      <c r="F22" s="25" t="n">
        <v>0.548</v>
      </c>
    </row>
    <row r="23">
      <c r="A23" s="3" t="inlineStr">
        <is>
          <t>Preferred Stock</t>
        </is>
      </c>
      <c r="C23" s="25" t="n">
        <v>0</v>
      </c>
      <c r="D23" s="25" t="n">
        <v>0</v>
      </c>
      <c r="E23" s="25" t="n">
        <v>0</v>
      </c>
      <c r="F23" s="25" t="n">
        <v>0</v>
      </c>
    </row>
    <row r="24">
      <c r="A24" s="3" t="inlineStr">
        <is>
          <t>Total Liabilities Net Minority Interest</t>
        </is>
      </c>
      <c r="C24" s="25" t="n">
        <v>580.58</v>
      </c>
      <c r="D24" s="25" t="n">
        <v>482.612</v>
      </c>
      <c r="E24" s="25" t="n">
        <v>500.699</v>
      </c>
      <c r="F24" s="25" t="n">
        <v>642.414</v>
      </c>
    </row>
    <row r="25">
      <c r="A25" s="3" t="inlineStr">
        <is>
          <t>Total Non Current Liabilities Net Minority Interest</t>
        </is>
      </c>
      <c r="C25" s="25" t="n">
        <v>427.456</v>
      </c>
      <c r="D25" s="25" t="n">
        <v>334.942</v>
      </c>
      <c r="E25" s="25" t="n">
        <v>330.269</v>
      </c>
      <c r="F25" s="25" t="n">
        <v>385.393</v>
      </c>
    </row>
    <row r="26">
      <c r="A26" s="3" t="inlineStr">
        <is>
          <t>Other Non Current Liabilities</t>
        </is>
      </c>
      <c r="B26" s="25" t="n">
        <v>1.842</v>
      </c>
      <c r="C26" s="25" t="n">
        <v>0.5</v>
      </c>
    </row>
    <row r="27">
      <c r="A27" s="3" t="inlineStr">
        <is>
          <t>Employee Benefits</t>
        </is>
      </c>
      <c r="C27" s="25" t="n">
        <v>27.407</v>
      </c>
      <c r="D27" s="25" t="n">
        <v>26.966</v>
      </c>
      <c r="E27" s="25" t="n">
        <v>34.467</v>
      </c>
      <c r="F27" s="25" t="n">
        <v>34.036</v>
      </c>
    </row>
    <row r="28">
      <c r="A28" s="3" t="inlineStr">
        <is>
          <t>Non Current Deferred Liabilities</t>
        </is>
      </c>
      <c r="C28" s="25" t="n">
        <v>23.378</v>
      </c>
      <c r="D28" s="25" t="n">
        <v>74.53100000000001</v>
      </c>
      <c r="E28" s="25" t="n">
        <v>63.835</v>
      </c>
      <c r="F28" s="25" t="n">
        <v>54.179</v>
      </c>
    </row>
    <row r="29">
      <c r="A29" s="3" t="inlineStr">
        <is>
          <t>Non Current Deferred Taxes Liabilities</t>
        </is>
      </c>
      <c r="C29" s="25" t="n">
        <v>23.378</v>
      </c>
      <c r="D29" s="25" t="n">
        <v>74.53100000000001</v>
      </c>
      <c r="E29" s="25" t="n">
        <v>63.835</v>
      </c>
      <c r="F29" s="25" t="n">
        <v>54.179</v>
      </c>
    </row>
    <row r="30">
      <c r="A30" s="3" t="inlineStr">
        <is>
          <t>Long Term Debt And Capital Lease Obligation</t>
        </is>
      </c>
      <c r="C30" s="25" t="n">
        <v>311.59</v>
      </c>
      <c r="D30" s="25" t="n">
        <v>161.779</v>
      </c>
      <c r="E30" s="25" t="n">
        <v>159.829</v>
      </c>
      <c r="F30" s="25" t="n">
        <v>232.423</v>
      </c>
    </row>
    <row r="31">
      <c r="A31" s="3" t="inlineStr">
        <is>
          <t>Long Term Capital Lease Obligation</t>
        </is>
      </c>
      <c r="C31" s="25" t="n">
        <v>9.002000000000001</v>
      </c>
      <c r="D31" s="25" t="n">
        <v>8.756</v>
      </c>
      <c r="E31" s="25" t="n">
        <v>6.217</v>
      </c>
      <c r="F31" s="25" t="n">
        <v>78.17100000000001</v>
      </c>
    </row>
    <row r="32">
      <c r="A32" s="3" t="inlineStr">
        <is>
          <t>Long Term Debt</t>
        </is>
      </c>
      <c r="C32" s="25" t="n">
        <v>302.588</v>
      </c>
      <c r="D32" s="25" t="n">
        <v>153.023</v>
      </c>
      <c r="E32" s="25" t="n">
        <v>153.612</v>
      </c>
      <c r="F32" s="25" t="n">
        <v>154.252</v>
      </c>
    </row>
    <row r="33">
      <c r="A33" s="3" t="inlineStr">
        <is>
          <t>Long Term Provisions</t>
        </is>
      </c>
      <c r="C33" s="25" t="n">
        <v>64.581</v>
      </c>
      <c r="D33" s="25" t="n">
        <v>71.666</v>
      </c>
      <c r="E33" s="25" t="n">
        <v>72.13800000000001</v>
      </c>
      <c r="F33" s="25" t="n">
        <v>64.755</v>
      </c>
    </row>
    <row r="34">
      <c r="A34" s="3" t="inlineStr">
        <is>
          <t>Current Liabilities</t>
        </is>
      </c>
      <c r="C34" s="25" t="n">
        <v>153.124</v>
      </c>
      <c r="D34" s="25" t="n">
        <v>147.67</v>
      </c>
      <c r="E34" s="25" t="n">
        <v>170.43</v>
      </c>
      <c r="F34" s="25" t="n">
        <v>257.021</v>
      </c>
    </row>
    <row r="35">
      <c r="A35" s="3" t="inlineStr">
        <is>
          <t>Other Current Liabilities</t>
        </is>
      </c>
      <c r="C35" s="25" t="n">
        <v>8.673999999999999</v>
      </c>
      <c r="D35" s="25" t="n">
        <v>5.85</v>
      </c>
      <c r="E35" s="25" t="n">
        <v>18.643</v>
      </c>
      <c r="F35" s="25" t="n">
        <v>15.077</v>
      </c>
    </row>
    <row r="36">
      <c r="A36" s="3" t="inlineStr">
        <is>
          <t>Current Debt And Capital Lease Obligation</t>
        </is>
      </c>
      <c r="C36" s="25" t="n">
        <v>24.089</v>
      </c>
      <c r="D36" s="25" t="n">
        <v>11.463</v>
      </c>
      <c r="E36" s="25" t="n">
        <v>13.208</v>
      </c>
      <c r="F36" s="25" t="n">
        <v>38.513</v>
      </c>
    </row>
    <row r="37">
      <c r="A37" s="3" t="inlineStr">
        <is>
          <t>Current Capital Lease Obligation</t>
        </is>
      </c>
      <c r="C37" s="25" t="n">
        <v>24.089</v>
      </c>
      <c r="D37" s="25" t="n">
        <v>11.463</v>
      </c>
      <c r="E37" s="25" t="n">
        <v>13.208</v>
      </c>
      <c r="F37" s="25" t="n">
        <v>38.513</v>
      </c>
    </row>
    <row r="38">
      <c r="A38" s="3" t="inlineStr">
        <is>
          <t>Current Provisions</t>
        </is>
      </c>
      <c r="C38" s="25" t="n">
        <v>3.9</v>
      </c>
      <c r="D38" s="25" t="n">
        <v>12.5</v>
      </c>
      <c r="E38" s="25" t="n">
        <v>13.032</v>
      </c>
      <c r="F38" s="25" t="n">
        <v>5.473</v>
      </c>
    </row>
    <row r="39">
      <c r="A39" s="3" t="inlineStr">
        <is>
          <t>Payables And Accrued Expenses</t>
        </is>
      </c>
      <c r="C39" s="25" t="n">
        <v>116.461</v>
      </c>
      <c r="D39" s="25" t="n">
        <v>117.857</v>
      </c>
      <c r="E39" s="25" t="n">
        <v>125.547</v>
      </c>
      <c r="F39" s="25" t="n">
        <v>197.958</v>
      </c>
    </row>
    <row r="40">
      <c r="A40" s="3" t="inlineStr">
        <is>
          <t>Current Accrued Expenses</t>
        </is>
      </c>
      <c r="C40" s="25" t="n">
        <v>76.434</v>
      </c>
      <c r="D40" s="25" t="n">
        <v>80.898</v>
      </c>
      <c r="E40" s="25" t="n">
        <v>83.994</v>
      </c>
      <c r="F40" s="25" t="n">
        <v>129.876</v>
      </c>
    </row>
    <row r="41">
      <c r="A41" s="3" t="inlineStr">
        <is>
          <t>Interest Payable</t>
        </is>
      </c>
      <c r="C41" s="25" t="n">
        <v>2.038</v>
      </c>
      <c r="D41" s="25" t="n">
        <v>1.064</v>
      </c>
      <c r="E41" s="25" t="n">
        <v>1.027</v>
      </c>
      <c r="F41" s="25" t="n">
        <v>1.144</v>
      </c>
    </row>
    <row r="42">
      <c r="A42" s="3" t="inlineStr">
        <is>
          <t>Payables</t>
        </is>
      </c>
      <c r="C42" s="25" t="n">
        <v>40.027</v>
      </c>
      <c r="D42" s="25" t="n">
        <v>36.959</v>
      </c>
      <c r="E42" s="25" t="n">
        <v>41.553</v>
      </c>
      <c r="F42" s="25" t="n">
        <v>68.08199999999999</v>
      </c>
    </row>
    <row r="43">
      <c r="A43" s="3" t="inlineStr">
        <is>
          <t>Total Tax Payable</t>
        </is>
      </c>
      <c r="C43" s="25" t="n">
        <v>1.001</v>
      </c>
      <c r="D43" s="25" t="n">
        <v>0.714</v>
      </c>
      <c r="E43" s="25" t="n">
        <v>1.375</v>
      </c>
      <c r="F43" s="25" t="n">
        <v>2.005</v>
      </c>
    </row>
    <row r="44">
      <c r="A44" s="3" t="inlineStr">
        <is>
          <t>Accounts Payable</t>
        </is>
      </c>
      <c r="C44" s="25" t="n">
        <v>39.026</v>
      </c>
      <c r="D44" s="25" t="n">
        <v>36.245</v>
      </c>
      <c r="E44" s="25" t="n">
        <v>40.178</v>
      </c>
      <c r="F44" s="25" t="n">
        <v>66.077</v>
      </c>
    </row>
    <row r="45">
      <c r="A45" s="3" t="inlineStr">
        <is>
          <t>Total Assets</t>
        </is>
      </c>
      <c r="C45" s="25" t="n">
        <v>2028.095</v>
      </c>
      <c r="D45" s="25" t="n">
        <v>2357.058</v>
      </c>
      <c r="E45" s="25" t="n">
        <v>2591.516</v>
      </c>
      <c r="F45" s="25" t="n">
        <v>2783.799</v>
      </c>
    </row>
    <row r="46">
      <c r="A46" s="3" t="inlineStr">
        <is>
          <t>Total Non Current Assets</t>
        </is>
      </c>
      <c r="C46" s="25" t="n">
        <v>854.986</v>
      </c>
      <c r="D46" s="25" t="n">
        <v>1287.892</v>
      </c>
      <c r="E46" s="25" t="n">
        <v>1704.454</v>
      </c>
      <c r="F46" s="25" t="n">
        <v>1963.544</v>
      </c>
    </row>
    <row r="47">
      <c r="A47" s="3" t="inlineStr">
        <is>
          <t>Other Non Current Assets</t>
        </is>
      </c>
      <c r="C47" s="25" t="n">
        <v>12.744</v>
      </c>
      <c r="D47" s="25" t="n">
        <v>10.719</v>
      </c>
      <c r="E47" s="25" t="n">
        <v>11.792</v>
      </c>
      <c r="F47" s="25" t="n">
        <v>12.225</v>
      </c>
    </row>
    <row r="48">
      <c r="A48" s="3" t="inlineStr">
        <is>
          <t>Non Current Prepaid Assets</t>
        </is>
      </c>
      <c r="C48" s="25" t="n">
        <v>7.087</v>
      </c>
      <c r="D48" s="25" t="n">
        <v>11.268</v>
      </c>
      <c r="E48" s="25" t="n">
        <v>23.133</v>
      </c>
      <c r="F48" s="25" t="n">
        <v>23.75</v>
      </c>
    </row>
    <row r="49">
      <c r="A49" s="3" t="inlineStr">
        <is>
          <t>Non Current Deferred Assets</t>
        </is>
      </c>
      <c r="C49" s="25" t="n">
        <v>7.572</v>
      </c>
      <c r="D49" s="25" t="n">
        <v>5.854</v>
      </c>
      <c r="E49" s="25" t="n">
        <v>3.21</v>
      </c>
      <c r="F49" s="25" t="n">
        <v>2.947</v>
      </c>
    </row>
    <row r="50">
      <c r="A50" s="3" t="inlineStr">
        <is>
          <t>Non Current Deferred Taxes Assets</t>
        </is>
      </c>
      <c r="C50" s="25" t="n">
        <v>7.572</v>
      </c>
      <c r="D50" s="25" t="n">
        <v>5.854</v>
      </c>
      <c r="E50" s="25" t="n">
        <v>3.21</v>
      </c>
      <c r="F50" s="25" t="n">
        <v>2.947</v>
      </c>
    </row>
    <row r="51">
      <c r="A51" s="3" t="inlineStr">
        <is>
          <t>Investments And Advances</t>
        </is>
      </c>
      <c r="D51" s="25" t="n">
        <v>0</v>
      </c>
      <c r="E51" s="25" t="n">
        <v>44.604</v>
      </c>
      <c r="F51" s="25" t="n">
        <v>0</v>
      </c>
    </row>
    <row r="52">
      <c r="A52" s="3" t="inlineStr">
        <is>
          <t>Other Investments</t>
        </is>
      </c>
      <c r="D52" s="25" t="n">
        <v>0</v>
      </c>
      <c r="E52" s="25" t="n">
        <v>44.604</v>
      </c>
      <c r="F52" s="25" t="n">
        <v>0</v>
      </c>
    </row>
    <row r="53">
      <c r="A53" s="3" t="inlineStr">
        <is>
          <t>Net PPE</t>
        </is>
      </c>
      <c r="C53" s="25" t="n">
        <v>827.583</v>
      </c>
      <c r="D53" s="25" t="n">
        <v>1260.051</v>
      </c>
      <c r="E53" s="25" t="n">
        <v>1621.715</v>
      </c>
      <c r="F53" s="25" t="n">
        <v>1924.622</v>
      </c>
    </row>
    <row r="54">
      <c r="A54" s="3" t="inlineStr">
        <is>
          <t>Accumulated Depreciation</t>
        </is>
      </c>
      <c r="C54" s="25" t="n">
        <v>-681.187</v>
      </c>
      <c r="D54" s="25" t="n">
        <v>-793.064</v>
      </c>
      <c r="E54" s="25" t="n">
        <v>-941.111</v>
      </c>
      <c r="F54" s="25" t="n">
        <v>-1107.094</v>
      </c>
    </row>
    <row r="55">
      <c r="A55" s="3" t="inlineStr">
        <is>
          <t>Gross PPE</t>
        </is>
      </c>
      <c r="C55" s="25" t="n">
        <v>1508.77</v>
      </c>
      <c r="D55" s="25" t="n">
        <v>2053.115</v>
      </c>
      <c r="E55" s="25" t="n">
        <v>2562.826</v>
      </c>
      <c r="F55" s="25" t="n">
        <v>3031.716</v>
      </c>
    </row>
    <row r="56">
      <c r="A56" s="3" t="inlineStr">
        <is>
          <t>Construction In Progress</t>
        </is>
      </c>
      <c r="C56" s="25" t="n">
        <v>168.025</v>
      </c>
      <c r="D56" s="25" t="n">
        <v>425.124</v>
      </c>
      <c r="E56" s="25" t="n">
        <v>513.072</v>
      </c>
      <c r="F56" s="25" t="n">
        <v>203.696</v>
      </c>
    </row>
    <row r="57">
      <c r="A57" s="3" t="inlineStr">
        <is>
          <t>Other Properties</t>
        </is>
      </c>
      <c r="C57" s="25" t="n">
        <v>97.55</v>
      </c>
      <c r="D57" s="25" t="n">
        <v>166.367</v>
      </c>
      <c r="E57" s="25" t="n">
        <v>169.26</v>
      </c>
      <c r="F57" s="25" t="n">
        <v>255.037</v>
      </c>
    </row>
    <row r="58">
      <c r="A58" s="3" t="inlineStr">
        <is>
          <t>Machinery Furniture Equipment</t>
        </is>
      </c>
      <c r="C58" s="25" t="n">
        <v>852.141</v>
      </c>
      <c r="D58" s="25" t="n">
        <v>1087.635</v>
      </c>
      <c r="E58" s="25" t="n">
        <v>1435.65</v>
      </c>
      <c r="F58" s="25" t="n">
        <v>1870.215</v>
      </c>
    </row>
    <row r="59">
      <c r="A59" s="3" t="inlineStr">
        <is>
          <t>Buildings And Improvements</t>
        </is>
      </c>
      <c r="C59" s="25" t="n">
        <v>81.73699999999999</v>
      </c>
      <c r="D59" s="25" t="n">
        <v>38.223</v>
      </c>
      <c r="E59" s="25" t="n">
        <v>73.54300000000001</v>
      </c>
      <c r="F59" s="25" t="n">
        <v>144.744</v>
      </c>
    </row>
    <row r="60">
      <c r="A60" s="3" t="inlineStr">
        <is>
          <t>Land And Improvements</t>
        </is>
      </c>
      <c r="C60" s="25" t="n">
        <v>90.776</v>
      </c>
      <c r="D60" s="25" t="n">
        <v>93.003</v>
      </c>
      <c r="E60" s="25" t="n">
        <v>97.29000000000001</v>
      </c>
      <c r="F60" s="25" t="n">
        <v>159.828</v>
      </c>
    </row>
    <row r="61">
      <c r="A61" s="3" t="inlineStr">
        <is>
          <t>Current Assets</t>
        </is>
      </c>
      <c r="C61" s="25" t="n">
        <v>1173.109</v>
      </c>
      <c r="D61" s="25" t="n">
        <v>1069.166</v>
      </c>
      <c r="E61" s="25" t="n">
        <v>887.062</v>
      </c>
      <c r="F61" s="25" t="n">
        <v>820.255</v>
      </c>
    </row>
    <row r="62">
      <c r="A62" s="3" t="inlineStr">
        <is>
          <t>Other Current Assets</t>
        </is>
      </c>
      <c r="C62" s="25" t="n">
        <v>5.143</v>
      </c>
      <c r="D62" s="25" t="n">
        <v>7.049</v>
      </c>
      <c r="E62" s="25" t="n">
        <v>3.449</v>
      </c>
      <c r="F62" s="25" t="n">
        <v>10.162</v>
      </c>
    </row>
    <row r="63">
      <c r="A63" s="3" t="inlineStr">
        <is>
          <t>Hedging Assets Current</t>
        </is>
      </c>
      <c r="B63" s="25" t="n">
        <v>4.043</v>
      </c>
      <c r="C63" s="25" t="n">
        <v>0</v>
      </c>
    </row>
    <row r="64">
      <c r="A64" s="3" t="inlineStr">
        <is>
          <t>Current Deferred Assets</t>
        </is>
      </c>
      <c r="C64" s="25" t="n">
        <v>18.952</v>
      </c>
      <c r="D64" s="25" t="n">
        <v>18.513</v>
      </c>
      <c r="E64" s="25" t="n">
        <v>24.643</v>
      </c>
      <c r="F64" s="25" t="n">
        <v>36.959</v>
      </c>
    </row>
    <row r="65">
      <c r="A65" s="3" t="inlineStr">
        <is>
          <t>Prepaid Assets</t>
        </is>
      </c>
      <c r="C65" s="25" t="n">
        <v>1.424</v>
      </c>
      <c r="D65" s="25" t="n">
        <v>1.991</v>
      </c>
      <c r="E65" s="25" t="n">
        <v>3.616</v>
      </c>
      <c r="F65" s="25" t="n">
        <v>1.709</v>
      </c>
    </row>
    <row r="66">
      <c r="A66" s="3" t="inlineStr">
        <is>
          <t>Inventory</t>
        </is>
      </c>
      <c r="C66" s="25" t="n">
        <v>154.039</v>
      </c>
      <c r="D66" s="25" t="n">
        <v>183.949</v>
      </c>
      <c r="E66" s="25" t="n">
        <v>207.59</v>
      </c>
      <c r="F66" s="25" t="n">
        <v>235.936</v>
      </c>
    </row>
    <row r="67">
      <c r="A67" s="3" t="inlineStr">
        <is>
          <t>Finished Goods</t>
        </is>
      </c>
      <c r="C67" s="25" t="n">
        <v>109.822</v>
      </c>
      <c r="D67" s="25" t="n">
        <v>129.989</v>
      </c>
      <c r="E67" s="25" t="n">
        <v>118.504</v>
      </c>
      <c r="F67" s="25" t="n">
        <v>125.907</v>
      </c>
    </row>
    <row r="68">
      <c r="A68" s="3" t="inlineStr">
        <is>
          <t>Raw Materials</t>
        </is>
      </c>
      <c r="C68" s="25" t="n">
        <v>44.217</v>
      </c>
      <c r="D68" s="25" t="n">
        <v>53.96</v>
      </c>
      <c r="E68" s="25" t="n">
        <v>89.086</v>
      </c>
      <c r="F68" s="25" t="n">
        <v>110.029</v>
      </c>
    </row>
    <row r="69">
      <c r="A69" s="3" t="inlineStr">
        <is>
          <t>Receivables</t>
        </is>
      </c>
      <c r="C69" s="25" t="n">
        <v>155.463</v>
      </c>
      <c r="D69" s="25" t="n">
        <v>110.437</v>
      </c>
      <c r="E69" s="25" t="n">
        <v>141.595</v>
      </c>
      <c r="F69" s="25" t="n">
        <v>182.274</v>
      </c>
    </row>
    <row r="70">
      <c r="A70" s="3" t="inlineStr">
        <is>
          <t>Other Receivables</t>
        </is>
      </c>
      <c r="C70" s="25" t="n">
        <v>3.637</v>
      </c>
      <c r="D70" s="25" t="n">
        <v>4.379</v>
      </c>
      <c r="E70" s="25" t="n">
        <v>0.728</v>
      </c>
      <c r="F70" s="25" t="n">
        <v>0.6830000000000001</v>
      </c>
    </row>
    <row r="71">
      <c r="A71" s="3" t="inlineStr">
        <is>
          <t>Taxes Receivable</t>
        </is>
      </c>
      <c r="C71" s="25" t="n">
        <v>0</v>
      </c>
      <c r="D71" s="25" t="n">
        <v>7.833</v>
      </c>
      <c r="E71" s="25" t="n">
        <v>0</v>
      </c>
    </row>
    <row r="72">
      <c r="A72" s="3" t="inlineStr">
        <is>
          <t>Accounts Receivable</t>
        </is>
      </c>
      <c r="C72" s="25" t="n">
        <v>151.826</v>
      </c>
      <c r="D72" s="25" t="n">
        <v>98.22499999999999</v>
      </c>
      <c r="E72" s="25" t="n">
        <v>140.867</v>
      </c>
      <c r="F72" s="25" t="n">
        <v>181.591</v>
      </c>
    </row>
    <row r="73">
      <c r="A73" s="3" t="inlineStr">
        <is>
          <t>Cash Cash Equivalents And Short Term Investments</t>
        </is>
      </c>
      <c r="C73" s="25" t="n">
        <v>838.088</v>
      </c>
      <c r="D73" s="25" t="n">
        <v>747.227</v>
      </c>
      <c r="E73" s="25" t="n">
        <v>506.169</v>
      </c>
      <c r="F73" s="25" t="n">
        <v>353.215</v>
      </c>
    </row>
    <row r="74">
      <c r="A74" s="3" t="inlineStr">
        <is>
          <t>Other Short Term Investments</t>
        </is>
      </c>
      <c r="C74" s="25" t="n">
        <v>8.608000000000001</v>
      </c>
      <c r="D74" s="25" t="n">
        <v>9.029999999999999</v>
      </c>
      <c r="E74" s="25" t="n">
        <v>14.622</v>
      </c>
      <c r="F74" s="25" t="n">
        <v>53.252</v>
      </c>
    </row>
    <row r="75">
      <c r="A75" s="3" t="inlineStr">
        <is>
          <t>Cash And Cash Equivalents</t>
        </is>
      </c>
      <c r="C75" s="25" t="n">
        <v>829.48</v>
      </c>
      <c r="D75" s="25" t="n">
        <v>738.197</v>
      </c>
      <c r="E75" s="25" t="n">
        <v>491.547</v>
      </c>
      <c r="F75" s="25" t="n">
        <v>299.963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HCC — CF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Free Cash Flow</t>
        </is>
      </c>
      <c r="C5" s="25" t="n">
        <v>633.162</v>
      </c>
      <c r="D5" s="25" t="n">
        <v>209.434</v>
      </c>
      <c r="E5" s="25" t="n">
        <v>-89.773</v>
      </c>
      <c r="F5" s="25" t="n">
        <v>-100.378</v>
      </c>
    </row>
    <row r="6">
      <c r="A6" s="3" t="inlineStr">
        <is>
          <t>Repurchase Of Capital Stock</t>
        </is>
      </c>
      <c r="B6" s="25" t="n">
        <v>0</v>
      </c>
    </row>
    <row r="7">
      <c r="A7" s="3" t="inlineStr">
        <is>
          <t>Repayment Of Debt</t>
        </is>
      </c>
      <c r="C7" s="25" t="n">
        <v>-69.73</v>
      </c>
      <c r="D7" s="25" t="n">
        <v>-194.688</v>
      </c>
      <c r="E7" s="25" t="n">
        <v>-17.414</v>
      </c>
      <c r="F7" s="25" t="n">
        <v>-36.942</v>
      </c>
    </row>
    <row r="8">
      <c r="A8" s="3" t="inlineStr">
        <is>
          <t>Issuance Of Debt</t>
        </is>
      </c>
      <c r="C8" s="25" t="n">
        <v>0</v>
      </c>
      <c r="D8" s="25" t="n">
        <v>0</v>
      </c>
      <c r="E8" s="25" t="n">
        <v>4.503</v>
      </c>
      <c r="F8" s="25" t="n">
        <v>48.771</v>
      </c>
    </row>
    <row r="9">
      <c r="A9" s="3" t="inlineStr">
        <is>
          <t>Capital Expenditure</t>
        </is>
      </c>
      <c r="C9" s="25" t="n">
        <v>-208.742</v>
      </c>
      <c r="D9" s="25" t="n">
        <v>-491.674</v>
      </c>
      <c r="E9" s="25" t="n">
        <v>-457.221</v>
      </c>
      <c r="F9" s="25" t="n">
        <v>-329.624</v>
      </c>
    </row>
    <row r="10">
      <c r="A10" s="3" t="inlineStr">
        <is>
          <t>Interest Paid Supplemental Data</t>
        </is>
      </c>
      <c r="C10" s="25" t="n">
        <v>27.81</v>
      </c>
      <c r="D10" s="25" t="n">
        <v>23.97</v>
      </c>
      <c r="E10" s="25" t="n">
        <v>13.621</v>
      </c>
      <c r="F10" s="25" t="n">
        <v>19.915</v>
      </c>
    </row>
    <row r="11">
      <c r="A11" s="3" t="inlineStr">
        <is>
          <t>Income Tax Paid Supplemental Data</t>
        </is>
      </c>
      <c r="C11" s="25" t="n">
        <v>0</v>
      </c>
      <c r="D11" s="25" t="n">
        <v>27.004</v>
      </c>
      <c r="E11" s="25" t="n">
        <v>26.5</v>
      </c>
      <c r="F11" s="25" t="n">
        <v>8.6</v>
      </c>
    </row>
    <row r="12">
      <c r="A12" s="3" t="inlineStr">
        <is>
          <t>End Cash Position</t>
        </is>
      </c>
      <c r="C12" s="25" t="n">
        <v>829.48</v>
      </c>
      <c r="D12" s="25" t="n">
        <v>738.197</v>
      </c>
      <c r="E12" s="25" t="n">
        <v>499.132</v>
      </c>
      <c r="F12" s="25" t="n">
        <v>307.849</v>
      </c>
    </row>
    <row r="13">
      <c r="A13" s="3" t="inlineStr">
        <is>
          <t>Beginning Cash Position</t>
        </is>
      </c>
      <c r="C13" s="25" t="n">
        <v>395.839</v>
      </c>
      <c r="D13" s="25" t="n">
        <v>829.48</v>
      </c>
      <c r="E13" s="25" t="n">
        <v>738.197</v>
      </c>
      <c r="F13" s="25" t="n">
        <v>499.132</v>
      </c>
    </row>
    <row r="14">
      <c r="A14" s="3" t="inlineStr">
        <is>
          <t>Changes In Cash</t>
        </is>
      </c>
      <c r="C14" s="25" t="n">
        <v>433.641</v>
      </c>
      <c r="D14" s="25" t="n">
        <v>-91.283</v>
      </c>
      <c r="E14" s="25" t="n">
        <v>-239.065</v>
      </c>
      <c r="F14" s="25" t="n">
        <v>-191.283</v>
      </c>
    </row>
    <row r="15">
      <c r="A15" s="3" t="inlineStr">
        <is>
          <t>Financing Cash Flow</t>
        </is>
      </c>
      <c r="C15" s="25" t="n">
        <v>-153.119</v>
      </c>
      <c r="D15" s="25" t="n">
        <v>-265.184</v>
      </c>
      <c r="E15" s="25" t="n">
        <v>-68.511</v>
      </c>
      <c r="F15" s="25" t="n">
        <v>-15.379</v>
      </c>
    </row>
    <row r="16">
      <c r="A16" s="3" t="inlineStr">
        <is>
          <t>Cash Flow From Continuing Financing Activities</t>
        </is>
      </c>
      <c r="C16" s="25" t="n">
        <v>-153.119</v>
      </c>
      <c r="D16" s="25" t="n">
        <v>-265.184</v>
      </c>
      <c r="E16" s="25" t="n">
        <v>-68.511</v>
      </c>
      <c r="F16" s="25" t="n">
        <v>-15.379</v>
      </c>
    </row>
    <row r="17">
      <c r="A17" s="3" t="inlineStr">
        <is>
          <t>Net Other Financing Charges</t>
        </is>
      </c>
      <c r="C17" s="25" t="n">
        <v>-3.724</v>
      </c>
      <c r="D17" s="25" t="n">
        <v>-9.419</v>
      </c>
      <c r="E17" s="25" t="n">
        <v>-11.777</v>
      </c>
      <c r="F17" s="25" t="n">
        <v>-9.384</v>
      </c>
    </row>
    <row r="18">
      <c r="A18" s="3" t="inlineStr">
        <is>
          <t>Cash Dividends Paid</t>
        </is>
      </c>
      <c r="C18" s="25" t="n">
        <v>-79.66500000000001</v>
      </c>
      <c r="D18" s="25" t="n">
        <v>-61.077</v>
      </c>
      <c r="E18" s="25" t="n">
        <v>-43.823</v>
      </c>
      <c r="F18" s="25" t="n">
        <v>-17.824</v>
      </c>
    </row>
    <row r="19">
      <c r="A19" s="3" t="inlineStr">
        <is>
          <t>Common Stock Dividend Paid</t>
        </is>
      </c>
      <c r="C19" s="25" t="n">
        <v>-79.66500000000001</v>
      </c>
      <c r="D19" s="25" t="n">
        <v>-61.077</v>
      </c>
      <c r="E19" s="25" t="n">
        <v>-43.823</v>
      </c>
      <c r="F19" s="25" t="n">
        <v>-17.824</v>
      </c>
    </row>
    <row r="20">
      <c r="A20" s="3" t="inlineStr">
        <is>
          <t>Net Common Stock Issuance</t>
        </is>
      </c>
      <c r="B20" s="25" t="n">
        <v>0</v>
      </c>
    </row>
    <row r="21">
      <c r="A21" s="3" t="inlineStr">
        <is>
          <t>Common Stock Payments</t>
        </is>
      </c>
      <c r="B21" s="25" t="n">
        <v>0</v>
      </c>
    </row>
    <row r="22">
      <c r="A22" s="3" t="inlineStr">
        <is>
          <t>Net Issuance Payments Of Debt</t>
        </is>
      </c>
      <c r="C22" s="25" t="n">
        <v>-69.73</v>
      </c>
      <c r="D22" s="25" t="n">
        <v>-194.688</v>
      </c>
      <c r="E22" s="25" t="n">
        <v>-12.911</v>
      </c>
      <c r="F22" s="25" t="n">
        <v>11.829</v>
      </c>
    </row>
    <row r="23">
      <c r="A23" s="3" t="inlineStr">
        <is>
          <t>Net Short Term Debt Issuance</t>
        </is>
      </c>
      <c r="B23" s="25" t="n">
        <v>-40</v>
      </c>
    </row>
    <row r="24">
      <c r="A24" s="3" t="inlineStr">
        <is>
          <t>Short Term Debt Payments</t>
        </is>
      </c>
      <c r="B24" s="25" t="n">
        <v>-40</v>
      </c>
    </row>
    <row r="25">
      <c r="A25" s="3" t="inlineStr">
        <is>
          <t>Short Term Debt Issuance</t>
        </is>
      </c>
      <c r="B25" s="25" t="n">
        <v>0</v>
      </c>
    </row>
    <row r="26">
      <c r="A26" s="3" t="inlineStr">
        <is>
          <t>Net Long Term Debt Issuance</t>
        </is>
      </c>
      <c r="C26" s="25" t="n">
        <v>-69.73</v>
      </c>
      <c r="D26" s="25" t="n">
        <v>-194.688</v>
      </c>
      <c r="E26" s="25" t="n">
        <v>-12.911</v>
      </c>
      <c r="F26" s="25" t="n">
        <v>11.829</v>
      </c>
    </row>
    <row r="27">
      <c r="A27" s="3" t="inlineStr">
        <is>
          <t>Long Term Debt Payments</t>
        </is>
      </c>
      <c r="C27" s="25" t="n">
        <v>-69.73</v>
      </c>
      <c r="D27" s="25" t="n">
        <v>-194.688</v>
      </c>
      <c r="E27" s="25" t="n">
        <v>-17.414</v>
      </c>
      <c r="F27" s="25" t="n">
        <v>-36.942</v>
      </c>
    </row>
    <row r="28">
      <c r="A28" s="3" t="inlineStr">
        <is>
          <t>Long Term Debt Issuance</t>
        </is>
      </c>
      <c r="C28" s="25" t="n">
        <v>0</v>
      </c>
      <c r="D28" s="25" t="n">
        <v>0</v>
      </c>
      <c r="E28" s="25" t="n">
        <v>4.503</v>
      </c>
      <c r="F28" s="25" t="n">
        <v>48.771</v>
      </c>
    </row>
    <row r="29">
      <c r="A29" s="3" t="inlineStr">
        <is>
          <t>Investing Cash Flow</t>
        </is>
      </c>
      <c r="C29" s="25" t="n">
        <v>-255.144</v>
      </c>
      <c r="D29" s="25" t="n">
        <v>-527.207</v>
      </c>
      <c r="E29" s="25" t="n">
        <v>-538.002</v>
      </c>
      <c r="F29" s="25" t="n">
        <v>-405.15</v>
      </c>
    </row>
    <row r="30">
      <c r="A30" s="3" t="inlineStr">
        <is>
          <t>Cash Flow From Continuing Investing Activities</t>
        </is>
      </c>
      <c r="C30" s="25" t="n">
        <v>-255.144</v>
      </c>
      <c r="D30" s="25" t="n">
        <v>-527.207</v>
      </c>
      <c r="E30" s="25" t="n">
        <v>-538.002</v>
      </c>
      <c r="F30" s="25" t="n">
        <v>-405.15</v>
      </c>
    </row>
    <row r="31">
      <c r="A31" s="3" t="inlineStr">
        <is>
          <t>Net Other Investing Changes</t>
        </is>
      </c>
      <c r="C31" s="25" t="n">
        <v>-48.935</v>
      </c>
      <c r="D31" s="25" t="n">
        <v>-33.112</v>
      </c>
      <c r="E31" s="25" t="n">
        <v>-31.06</v>
      </c>
      <c r="F31" s="25" t="n">
        <v>-81.937</v>
      </c>
    </row>
    <row r="32">
      <c r="A32" s="3" t="inlineStr">
        <is>
          <t>Net Investment Purchase And Sale</t>
        </is>
      </c>
      <c r="C32" s="25" t="n">
        <v>0</v>
      </c>
      <c r="D32" s="25" t="n">
        <v>0</v>
      </c>
      <c r="E32" s="25" t="n">
        <v>-49.721</v>
      </c>
      <c r="F32" s="25" t="n">
        <v>6.381</v>
      </c>
    </row>
    <row r="33">
      <c r="A33" s="3" t="inlineStr">
        <is>
          <t>Sale Of Investment</t>
        </is>
      </c>
      <c r="B33" s="25" t="n">
        <v>0</v>
      </c>
      <c r="C33" s="25" t="n">
        <v>0</v>
      </c>
    </row>
    <row r="34">
      <c r="A34" s="3" t="inlineStr">
        <is>
          <t>Purchase Of Investment</t>
        </is>
      </c>
      <c r="B34" s="25" t="n">
        <v>0</v>
      </c>
      <c r="C34" s="25" t="n">
        <v>0</v>
      </c>
      <c r="D34" s="25" t="n">
        <v>0</v>
      </c>
      <c r="E34" s="25" t="n">
        <v>-49.721</v>
      </c>
    </row>
    <row r="35">
      <c r="A35" s="3" t="inlineStr">
        <is>
          <t>Net Business Purchase And Sale</t>
        </is>
      </c>
      <c r="C35" s="25" t="n">
        <v>2.533</v>
      </c>
      <c r="D35" s="25" t="n">
        <v>-2.421</v>
      </c>
      <c r="E35" s="25" t="n">
        <v>0</v>
      </c>
      <c r="F35" s="25" t="n">
        <v>0</v>
      </c>
    </row>
    <row r="36">
      <c r="A36" s="3" t="inlineStr">
        <is>
          <t>Sale Of Business</t>
        </is>
      </c>
      <c r="B36" s="25" t="n">
        <v>0</v>
      </c>
      <c r="C36" s="25" t="n">
        <v>2.533</v>
      </c>
    </row>
    <row r="37">
      <c r="A37" s="3" t="inlineStr">
        <is>
          <t>Purchase Of Business</t>
        </is>
      </c>
      <c r="B37" s="25" t="n">
        <v>0</v>
      </c>
      <c r="D37" s="25" t="n">
        <v>-2.421</v>
      </c>
      <c r="E37" s="25" t="n">
        <v>0</v>
      </c>
      <c r="F37" s="25" t="n">
        <v>0</v>
      </c>
    </row>
    <row r="38">
      <c r="A38" s="3" t="inlineStr">
        <is>
          <t>Net PPE Purchase And Sale</t>
        </is>
      </c>
      <c r="C38" s="25" t="n">
        <v>-208.742</v>
      </c>
      <c r="D38" s="25" t="n">
        <v>-491.674</v>
      </c>
      <c r="E38" s="25" t="n">
        <v>-457.221</v>
      </c>
      <c r="F38" s="25" t="n">
        <v>-329.594</v>
      </c>
    </row>
    <row r="39">
      <c r="A39" s="3" t="inlineStr">
        <is>
          <t>Sale Of PPE</t>
        </is>
      </c>
      <c r="C39" s="25" t="n">
        <v>0</v>
      </c>
      <c r="D39" s="25" t="n">
        <v>0</v>
      </c>
      <c r="E39" s="25" t="n">
        <v>0</v>
      </c>
      <c r="F39" s="25" t="n">
        <v>0.03</v>
      </c>
    </row>
    <row r="40">
      <c r="A40" s="3" t="inlineStr">
        <is>
          <t>Purchase Of PPE</t>
        </is>
      </c>
      <c r="C40" s="25" t="n">
        <v>-208.742</v>
      </c>
      <c r="D40" s="25" t="n">
        <v>-491.674</v>
      </c>
      <c r="E40" s="25" t="n">
        <v>-457.221</v>
      </c>
      <c r="F40" s="25" t="n">
        <v>-329.624</v>
      </c>
    </row>
    <row r="41">
      <c r="A41" s="3" t="inlineStr">
        <is>
          <t>Operating Cash Flow</t>
        </is>
      </c>
      <c r="C41" s="25" t="n">
        <v>841.904</v>
      </c>
      <c r="D41" s="25" t="n">
        <v>701.1079999999999</v>
      </c>
      <c r="E41" s="25" t="n">
        <v>367.448</v>
      </c>
      <c r="F41" s="25" t="n">
        <v>229.246</v>
      </c>
    </row>
    <row r="42">
      <c r="A42" s="3" t="inlineStr">
        <is>
          <t>Cash Flow From Continuing Operating Activities</t>
        </is>
      </c>
      <c r="C42" s="25" t="n">
        <v>841.904</v>
      </c>
      <c r="D42" s="25" t="n">
        <v>701.1079999999999</v>
      </c>
      <c r="E42" s="25" t="n">
        <v>367.448</v>
      </c>
      <c r="F42" s="25" t="n">
        <v>229.246</v>
      </c>
    </row>
    <row r="43">
      <c r="A43" s="3" t="inlineStr">
        <is>
          <t>Change In Working Capital</t>
        </is>
      </c>
      <c r="C43" s="25" t="n">
        <v>-83.249</v>
      </c>
      <c r="D43" s="25" t="n">
        <v>5.717</v>
      </c>
      <c r="E43" s="25" t="n">
        <v>-60.015</v>
      </c>
      <c r="F43" s="25" t="n">
        <v>-30.035</v>
      </c>
    </row>
    <row r="44">
      <c r="A44" s="3" t="inlineStr">
        <is>
          <t>Change In Other Working Capital</t>
        </is>
      </c>
      <c r="C44" s="25" t="n">
        <v>0.798</v>
      </c>
      <c r="D44" s="25" t="n">
        <v>0.011</v>
      </c>
      <c r="E44" s="25" t="n">
        <v>-4.863</v>
      </c>
      <c r="F44" s="25" t="n">
        <v>-7.414</v>
      </c>
    </row>
    <row r="45">
      <c r="A45" s="3" t="inlineStr">
        <is>
          <t>Change In Payables And Accrued Expense</t>
        </is>
      </c>
      <c r="C45" s="25" t="n">
        <v>17.361</v>
      </c>
      <c r="D45" s="25" t="n">
        <v>-8.43</v>
      </c>
      <c r="E45" s="25" t="n">
        <v>-1.344</v>
      </c>
      <c r="F45" s="25" t="n">
        <v>64.04600000000001</v>
      </c>
    </row>
    <row r="46">
      <c r="A46" s="3" t="inlineStr">
        <is>
          <t>Change In Accrued Expense</t>
        </is>
      </c>
      <c r="C46" s="25" t="n">
        <v>22.803</v>
      </c>
      <c r="D46" s="25" t="n">
        <v>-8.645</v>
      </c>
      <c r="E46" s="25" t="n">
        <v>1.207</v>
      </c>
      <c r="F46" s="25" t="n">
        <v>33.188</v>
      </c>
    </row>
    <row r="47">
      <c r="A47" s="3" t="inlineStr">
        <is>
          <t>Change In Payable</t>
        </is>
      </c>
      <c r="C47" s="25" t="n">
        <v>-5.442</v>
      </c>
      <c r="D47" s="25" t="n">
        <v>0.215</v>
      </c>
      <c r="E47" s="25" t="n">
        <v>-2.551</v>
      </c>
      <c r="F47" s="25" t="n">
        <v>30.858</v>
      </c>
    </row>
    <row r="48">
      <c r="A48" s="3" t="inlineStr">
        <is>
          <t>Change In Account Payable</t>
        </is>
      </c>
      <c r="C48" s="25" t="n">
        <v>-5.442</v>
      </c>
      <c r="D48" s="25" t="n">
        <v>0.215</v>
      </c>
      <c r="E48" s="25" t="n">
        <v>-2.551</v>
      </c>
      <c r="F48" s="25" t="n">
        <v>30.858</v>
      </c>
    </row>
    <row r="49">
      <c r="A49" s="3" t="inlineStr">
        <is>
          <t>Change In Prepaid Assets</t>
        </is>
      </c>
      <c r="C49" s="25" t="n">
        <v>0.888</v>
      </c>
      <c r="D49" s="25" t="n">
        <v>-2.034</v>
      </c>
      <c r="E49" s="25" t="n">
        <v>-4.155</v>
      </c>
      <c r="F49" s="25" t="n">
        <v>-17.672</v>
      </c>
    </row>
    <row r="50">
      <c r="A50" s="3" t="inlineStr">
        <is>
          <t>Change In Inventory</t>
        </is>
      </c>
      <c r="C50" s="25" t="n">
        <v>-79.845</v>
      </c>
      <c r="D50" s="25" t="n">
        <v>-30.785</v>
      </c>
      <c r="E50" s="25" t="n">
        <v>-18.495</v>
      </c>
      <c r="F50" s="25" t="n">
        <v>-28.316</v>
      </c>
    </row>
    <row r="51">
      <c r="A51" s="3" t="inlineStr">
        <is>
          <t>Change In Receivables</t>
        </is>
      </c>
      <c r="C51" s="25" t="n">
        <v>-22.451</v>
      </c>
      <c r="D51" s="25" t="n">
        <v>46.955</v>
      </c>
      <c r="E51" s="25" t="n">
        <v>-31.158</v>
      </c>
      <c r="F51" s="25" t="n">
        <v>-40.679</v>
      </c>
    </row>
    <row r="52">
      <c r="A52" s="3" t="inlineStr">
        <is>
          <t>Changes In Account Receivables</t>
        </is>
      </c>
      <c r="C52" s="25" t="n">
        <v>-29.676</v>
      </c>
      <c r="D52" s="25" t="n">
        <v>53.601</v>
      </c>
      <c r="E52" s="25" t="n">
        <v>-42.642</v>
      </c>
      <c r="F52" s="25" t="n">
        <v>-40.724</v>
      </c>
    </row>
    <row r="53">
      <c r="A53" s="3" t="inlineStr">
        <is>
          <t>Other Non Cash Items</t>
        </is>
      </c>
      <c r="C53" s="25" t="n">
        <v>5.106</v>
      </c>
      <c r="D53" s="25" t="n">
        <v>6.629</v>
      </c>
      <c r="E53" s="25" t="n">
        <v>7.025</v>
      </c>
      <c r="F53" s="25" t="n">
        <v>3.333</v>
      </c>
    </row>
    <row r="54">
      <c r="A54" s="3" t="inlineStr">
        <is>
          <t>Stock Based Compensation</t>
        </is>
      </c>
      <c r="C54" s="25" t="n">
        <v>17.621</v>
      </c>
      <c r="D54" s="25" t="n">
        <v>18.207</v>
      </c>
      <c r="E54" s="25" t="n">
        <v>22.07</v>
      </c>
      <c r="F54" s="25" t="n">
        <v>19.953</v>
      </c>
    </row>
    <row r="55">
      <c r="A55" s="3" t="inlineStr">
        <is>
          <t>Deferred Tax</t>
        </is>
      </c>
      <c r="C55" s="25" t="n">
        <v>141.806</v>
      </c>
      <c r="D55" s="25" t="n">
        <v>52.871</v>
      </c>
      <c r="E55" s="25" t="n">
        <v>-8.052</v>
      </c>
      <c r="F55" s="25" t="n">
        <v>-9.393000000000001</v>
      </c>
    </row>
    <row r="56">
      <c r="A56" s="3" t="inlineStr">
        <is>
          <t>Deferred Income Tax</t>
        </is>
      </c>
      <c r="C56" s="25" t="n">
        <v>141.806</v>
      </c>
      <c r="D56" s="25" t="n">
        <v>52.871</v>
      </c>
      <c r="E56" s="25" t="n">
        <v>-8.052</v>
      </c>
      <c r="F56" s="25" t="n">
        <v>-9.393000000000001</v>
      </c>
    </row>
    <row r="57">
      <c r="A57" s="3" t="inlineStr">
        <is>
          <t>Depreciation Amortization Depletion</t>
        </is>
      </c>
      <c r="C57" s="25" t="n">
        <v>115.279</v>
      </c>
      <c r="D57" s="25" t="n">
        <v>127.356</v>
      </c>
      <c r="E57" s="25" t="n">
        <v>153.982</v>
      </c>
      <c r="F57" s="25" t="n">
        <v>188.565</v>
      </c>
    </row>
    <row r="58">
      <c r="A58" s="3" t="inlineStr">
        <is>
          <t>Operating Gains Losses</t>
        </is>
      </c>
      <c r="C58" s="25" t="n">
        <v>4.043</v>
      </c>
      <c r="D58" s="25" t="n">
        <v>11.699</v>
      </c>
      <c r="E58" s="25" t="n">
        <v>1.835</v>
      </c>
      <c r="F58" s="25" t="n">
        <v>-0.175</v>
      </c>
    </row>
    <row r="59">
      <c r="A59" s="3" t="inlineStr">
        <is>
          <t>Gain Loss On Investment Securities</t>
        </is>
      </c>
      <c r="B59" s="25" t="n">
        <v>1.595</v>
      </c>
      <c r="C59" s="25" t="n">
        <v>4.043</v>
      </c>
      <c r="E59" s="25" t="n">
        <v>1.835</v>
      </c>
      <c r="F59" s="25" t="n">
        <v>-0.175</v>
      </c>
    </row>
    <row r="60">
      <c r="A60" s="3" t="inlineStr">
        <is>
          <t>Net Income From Continuing Operations</t>
        </is>
      </c>
      <c r="C60" s="25" t="n">
        <v>641.298</v>
      </c>
      <c r="D60" s="25" t="n">
        <v>478.629</v>
      </c>
      <c r="E60" s="25" t="n">
        <v>250.603</v>
      </c>
      <c r="F60" s="25" t="n">
        <v>56.998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2026-10-13T12:49:24Z</dcterms:created>
  <dcterms:modified xmlns:dcterms="http://purl.org/dc/terms/" xmlns:xsi="http://www.w3.org/2001/XMLSchema-instance" xsi:type="dcterms:W3CDTF">2026-10-13T12:49:24Z</dcterms:modified>
</cp:coreProperties>
</file>