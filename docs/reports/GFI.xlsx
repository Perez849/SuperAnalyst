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Gold Fields Limited (GFI)</t>
        </is>
      </c>
    </row>
    <row r="2">
      <c r="A2" s="2" t="inlineStr">
        <is>
          <t>Basic Materials · Cyclical / Commodities (mid-cycle multiples + DCF) · generated 2026-10-13 · data: Yahoo snapshot as of 2026-07-08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58.37797951135433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GFI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87.03737370184209</v>
      </c>
      <c r="D5" s="6" t="n">
        <v>79.37844742798252</v>
      </c>
      <c r="E5" s="6" t="n">
        <v>95.62429432191867</v>
      </c>
      <c r="F5" s="11" t="n">
        <v>0.3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53.51526170385419</v>
      </c>
      <c r="D6" s="6" t="n">
        <v>43.88251459716043</v>
      </c>
      <c r="E6" s="6" t="n">
        <v>63.14800881054794</v>
      </c>
      <c r="F6" s="11" t="n">
        <v>0.15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50.05950935426196</v>
      </c>
      <c r="D7" s="6" t="n">
        <v>40.7103386756712</v>
      </c>
      <c r="E7" s="6" t="n">
        <v>59.40868003285271</v>
      </c>
      <c r="F7" s="11" t="n">
        <v>0.25</v>
      </c>
      <c r="G7" s="2" t="inlineStr">
        <is>
          <t>ok</t>
        </is>
      </c>
    </row>
    <row r="8">
      <c r="A8" s="3" t="inlineStr">
        <is>
          <t>Mid-cycle normalized EV/EBITDA</t>
        </is>
      </c>
      <c r="B8" s="2" t="inlineStr">
        <is>
          <t>sector</t>
        </is>
      </c>
      <c r="C8" s="6" t="n">
        <v>26.56104004462651</v>
      </c>
      <c r="D8" s="6" t="n">
        <v>20.71761123480868</v>
      </c>
      <c r="E8" s="6" t="n">
        <v>32.40446885444434</v>
      </c>
      <c r="F8" s="11" t="n">
        <v>0.3</v>
      </c>
      <c r="G8" s="2" t="inlineStr">
        <is>
          <t>ok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0.08200884281181614</v>
      </c>
    </row>
    <row r="13">
      <c r="A13" s="3" t="inlineStr">
        <is>
          <t>Dividends per share (12m)</t>
        </is>
      </c>
      <c r="B13" s="6" t="n">
        <v>0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54.28</v>
      </c>
    </row>
    <row r="16">
      <c r="A16" s="3" t="inlineStr">
        <is>
          <t>Street weight in target</t>
        </is>
      </c>
      <c r="B16" s="11" t="n">
        <v>0.15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32.88</v>
      </c>
    </row>
    <row r="19">
      <c r="A19" s="3" t="inlineStr">
        <is>
          <t>Engine target (incl. plausibility band)</t>
        </is>
      </c>
      <c r="B19" s="6" t="n">
        <v>58.37797951135433</v>
      </c>
    </row>
    <row r="21">
      <c r="A21" s="8" t="inlineStr">
        <is>
          <t>Guardrails</t>
        </is>
      </c>
    </row>
    <row r="22">
      <c r="A22" s="2" t="inlineStr">
        <is>
          <t>Target anchored 15% to the Street consensus ($54.28); model-only target $59.10.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GFI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10939.125</v>
      </c>
      <c r="C5" s="19" t="n">
        <v>11643.91000521689</v>
      </c>
      <c r="D5" s="19" t="n">
        <v>12264.11978195723</v>
      </c>
      <c r="E5" s="19" t="n">
        <v>12819.22049619522</v>
      </c>
      <c r="F5" s="19" t="n">
        <v>13325.904900273</v>
      </c>
      <c r="G5" s="19" t="n">
        <v>13797.81273554226</v>
      </c>
      <c r="H5" s="19" t="n">
        <v>14245.75387532036</v>
      </c>
      <c r="I5" s="19" t="n">
        <v>14678.12947531077</v>
      </c>
      <c r="J5" s="19" t="n">
        <v>15101.38970019858</v>
      </c>
      <c r="K5" s="19" t="n">
        <v>15478.92444270354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0.716713632439664</v>
      </c>
      <c r="C7" s="11" t="n">
        <v>0.688857035586033</v>
      </c>
      <c r="D7" s="11" t="n">
        <v>0.6610004387324019</v>
      </c>
      <c r="E7" s="11" t="n">
        <v>0.6331438418787708</v>
      </c>
      <c r="F7" s="11" t="n">
        <v>0.6052872450251399</v>
      </c>
      <c r="G7" s="11" t="n">
        <v>0.5774306481715088</v>
      </c>
      <c r="H7" s="11" t="n">
        <v>0.5495740513178777</v>
      </c>
      <c r="I7" s="11" t="n">
        <v>0.5217174544642467</v>
      </c>
      <c r="J7" s="11" t="n">
        <v>0.5217174544642467</v>
      </c>
      <c r="K7" s="11" t="n">
        <v>0.5217174544642467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5017.688009400001</v>
      </c>
      <c r="C9" s="19" t="n">
        <v>5135.188063735764</v>
      </c>
      <c r="D9" s="19" t="n">
        <v>5190.827561751298</v>
      </c>
      <c r="E9" s="19" t="n">
        <v>5197.211834653883</v>
      </c>
      <c r="F9" s="19" t="n">
        <v>5164.445171959616</v>
      </c>
      <c r="G9" s="19" t="n">
        <v>5100.276968301623</v>
      </c>
      <c r="H9" s="19" t="n">
        <v>5010.457836369158</v>
      </c>
      <c r="I9" s="19" t="n">
        <v>4899.138625001247</v>
      </c>
      <c r="J9" s="19" t="n">
        <v>5042.673085619126</v>
      </c>
      <c r="K9" s="19" t="n">
        <v>5170.701287759604</v>
      </c>
    </row>
    <row r="10">
      <c r="A10" s="3" t="inlineStr">
        <is>
          <t>EPS</t>
        </is>
      </c>
      <c r="B10" s="16">
        <f>B9*1000000/894418540.0</f>
        <v/>
      </c>
      <c r="C10" s="16">
        <f>C9*1000000/894418540.0</f>
        <v/>
      </c>
      <c r="D10" s="16">
        <f>D9*1000000/894418540.0</f>
        <v/>
      </c>
      <c r="E10" s="16">
        <f>E9*1000000/894418540.0</f>
        <v/>
      </c>
      <c r="F10" s="16">
        <f>F9*1000000/894418540.0</f>
        <v/>
      </c>
      <c r="G10" s="16">
        <f>G9*1000000/894418540.0</f>
        <v/>
      </c>
      <c r="H10" s="16">
        <f>H9*1000000/894418540.0</f>
        <v/>
      </c>
      <c r="I10" s="16">
        <f>I9*1000000/894418540.0</f>
        <v/>
      </c>
      <c r="J10" s="16">
        <f>J9*1000000/894418540.0</f>
        <v/>
      </c>
      <c r="K10" s="16">
        <f>K9*1000000/894418540.0</f>
        <v/>
      </c>
    </row>
    <row r="12">
      <c r="A12" s="13" t="inlineStr">
        <is>
          <t>Levered FCF (mn)</t>
        </is>
      </c>
      <c r="B12" s="20" t="n">
        <v>4354.242269607347</v>
      </c>
      <c r="C12" s="20" t="n">
        <v>4438.499337886294</v>
      </c>
      <c r="D12" s="20" t="n">
        <v>4524.715468845498</v>
      </c>
      <c r="E12" s="20" t="n">
        <v>4572.950611125078</v>
      </c>
      <c r="F12" s="20" t="n">
        <v>4591.318735028943</v>
      </c>
      <c r="G12" s="20" t="n">
        <v>4586.078981079316</v>
      </c>
      <c r="H12" s="20" t="n">
        <v>4561.91298090575</v>
      </c>
      <c r="I12" s="20" t="n">
        <v>4522.236594737328</v>
      </c>
      <c r="J12" s="20" t="n">
        <v>4742.923531640906</v>
      </c>
      <c r="K12" s="20" t="n">
        <v>4952.438079472667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GFI — Assumptions &amp; Drivers</t>
        </is>
      </c>
    </row>
    <row r="2">
      <c r="A2" s="2" t="inlineStr">
        <is>
          <t>Blue cells are inputs — change them and the whole model recalculates. Source: Yahoo snapshot as of 2026-07-08,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32.88</v>
      </c>
    </row>
    <row r="6">
      <c r="A6" s="3" t="inlineStr">
        <is>
          <t>Diluted shares (mn)</t>
        </is>
      </c>
      <c r="B6" s="18" t="n">
        <v>894.41854</v>
      </c>
    </row>
    <row r="7">
      <c r="A7" s="3" t="inlineStr">
        <is>
          <t>Total debt (USDmm)</t>
        </is>
      </c>
      <c r="B7" s="18" t="n">
        <v>3221.2</v>
      </c>
    </row>
    <row r="8">
      <c r="A8" s="3" t="inlineStr">
        <is>
          <t>Cash &amp; ST investments (USDmm)</t>
        </is>
      </c>
      <c r="B8" s="18" t="n">
        <v>1779.2</v>
      </c>
    </row>
    <row r="9">
      <c r="A9" s="3" t="inlineStr">
        <is>
          <t>Minority interest (USDmm)</t>
        </is>
      </c>
      <c r="B9" s="18" t="n">
        <v>239.8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0.85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0.35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0.25</v>
      </c>
      <c r="C26" s="11" t="n">
        <v>0.06442791404402876</v>
      </c>
      <c r="D26" s="11" t="n">
        <v>0.05326473465206037</v>
      </c>
      <c r="E26" s="11" t="n">
        <v>0.04526217324252213</v>
      </c>
      <c r="F26" s="11" t="n">
        <v>0.03952536772638876</v>
      </c>
      <c r="G26" s="11" t="n">
        <v>0.03541281727589028</v>
      </c>
      <c r="H26" s="11" t="n">
        <v>0.032464648445636</v>
      </c>
      <c r="I26" s="11" t="n">
        <v>0.03035119122333507</v>
      </c>
      <c r="J26" s="11" t="n">
        <v>0.02883611468339666</v>
      </c>
      <c r="K26" s="11" t="n">
        <v>0.025</v>
      </c>
    </row>
    <row r="27">
      <c r="A27" s="3" t="inlineStr">
        <is>
          <t>EBIT margin</t>
        </is>
      </c>
      <c r="B27" s="11" t="n">
        <v>0.716713632439664</v>
      </c>
      <c r="C27" s="11" t="n">
        <v>0.688857035586033</v>
      </c>
      <c r="D27" s="11" t="n">
        <v>0.6610004387324019</v>
      </c>
      <c r="E27" s="11" t="n">
        <v>0.6331438418787708</v>
      </c>
      <c r="F27" s="11" t="n">
        <v>0.6052872450251399</v>
      </c>
      <c r="G27" s="11" t="n">
        <v>0.5774306481715088</v>
      </c>
      <c r="H27" s="11" t="n">
        <v>0.5495740513178777</v>
      </c>
      <c r="I27" s="11" t="n">
        <v>0.5217174544642467</v>
      </c>
      <c r="J27" s="11" t="n">
        <v>0.5217174544642467</v>
      </c>
      <c r="K27" s="11" t="n">
        <v>0.5217174544642467</v>
      </c>
    </row>
    <row r="28">
      <c r="A28" s="3" t="inlineStr">
        <is>
          <t>D&amp;A % of revenue</t>
        </is>
      </c>
      <c r="B28" s="11" t="n">
        <v>0.1498633894474192</v>
      </c>
      <c r="C28" s="11" t="n">
        <v>0.1498633894474192</v>
      </c>
      <c r="D28" s="11" t="n">
        <v>0.1498633894474192</v>
      </c>
      <c r="E28" s="11" t="n">
        <v>0.1498633894474192</v>
      </c>
      <c r="F28" s="11" t="n">
        <v>0.1498633894474192</v>
      </c>
      <c r="G28" s="11" t="n">
        <v>0.1498633894474192</v>
      </c>
      <c r="H28" s="11" t="n">
        <v>0.1498633894474192</v>
      </c>
      <c r="I28" s="11" t="n">
        <v>0.1498633894474192</v>
      </c>
      <c r="J28" s="11" t="n">
        <v>0.1498633894474192</v>
      </c>
      <c r="K28" s="11" t="n">
        <v>0.1498633894474192</v>
      </c>
    </row>
    <row r="29">
      <c r="A29" s="3" t="inlineStr">
        <is>
          <t>Capex % of revenue</t>
        </is>
      </c>
      <c r="B29" s="11" t="n">
        <v>0.2177747588473552</v>
      </c>
      <c r="C29" s="11" t="n">
        <v>0.2118941999078892</v>
      </c>
      <c r="D29" s="11" t="n">
        <v>0.2060136409684232</v>
      </c>
      <c r="E29" s="11" t="n">
        <v>0.2001330820289572</v>
      </c>
      <c r="F29" s="11" t="n">
        <v>0.1942525230894911</v>
      </c>
      <c r="G29" s="11" t="n">
        <v>0.1883719641500252</v>
      </c>
      <c r="H29" s="11" t="n">
        <v>0.1824914052105591</v>
      </c>
      <c r="I29" s="11" t="n">
        <v>0.1766108462710931</v>
      </c>
      <c r="J29" s="11" t="n">
        <v>0.1707302873316272</v>
      </c>
      <c r="K29" s="11" t="n">
        <v>0.1648497283921611</v>
      </c>
    </row>
    <row r="30">
      <c r="A30" s="3" t="inlineStr">
        <is>
          <t>ΔNWC % of Δrevenue</t>
        </is>
      </c>
      <c r="B30" s="11" t="n">
        <v>-0.03631241940942298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4286.7</v>
      </c>
      <c r="C5" s="25" t="n">
        <v>4500.7</v>
      </c>
      <c r="D5" s="25" t="n">
        <v>5201.6</v>
      </c>
      <c r="E5" s="25" t="n">
        <v>8751.299999999999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1436.4</v>
      </c>
      <c r="C7" s="25" t="n">
        <v>1467.1</v>
      </c>
      <c r="D7" s="25" t="n">
        <v>2093.2</v>
      </c>
      <c r="E7" s="25" t="n">
        <v>4405.5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844.3</v>
      </c>
      <c r="C9" s="25" t="n">
        <v>795.3</v>
      </c>
      <c r="D9" s="25" t="n">
        <v>627.4</v>
      </c>
      <c r="E9" s="25" t="n">
        <v>920.4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1069.3</v>
      </c>
      <c r="C12" s="25" t="n">
        <v>1054.7</v>
      </c>
      <c r="D12" s="25" t="n">
        <v>1183.4</v>
      </c>
      <c r="E12" s="25" t="n">
        <v>1398.5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134.2</v>
      </c>
      <c r="C13" s="25" t="n">
        <v>199.1</v>
      </c>
      <c r="D13" s="25" t="n">
        <v>-13.9</v>
      </c>
      <c r="E13" s="25" t="n">
        <v>-187.4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9874.6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0.06205716518069913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0.06955716518069913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0.07705716518069913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0.08455716518069914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0.09205716518069913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GFI — IS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-79.94526416405999</v>
      </c>
      <c r="D5" s="25" t="n">
        <v>-52.685458150872</v>
      </c>
      <c r="E5" s="25" t="n">
        <v>18.165</v>
      </c>
      <c r="F5" s="25" t="n">
        <v>339.016</v>
      </c>
    </row>
    <row r="6">
      <c r="A6" s="3" t="inlineStr">
        <is>
          <t>Tax Rate For Calcs</t>
        </is>
      </c>
      <c r="C6" s="25" t="n">
        <v>3.84168e-13</v>
      </c>
      <c r="D6" s="25" t="n">
        <v>3.84285e-13</v>
      </c>
      <c r="E6" s="25" t="n">
        <v>3.5e-13</v>
      </c>
      <c r="F6" s="25" t="n">
        <v>3.1e-13</v>
      </c>
    </row>
    <row r="7">
      <c r="A7" s="3" t="inlineStr">
        <is>
          <t>Normalized EBITDA</t>
        </is>
      </c>
      <c r="C7" s="25" t="n">
        <v>2275.7</v>
      </c>
      <c r="D7" s="25" t="n">
        <v>2205.6</v>
      </c>
      <c r="E7" s="25" t="n">
        <v>2613.5</v>
      </c>
      <c r="F7" s="25" t="n">
        <v>5242.1</v>
      </c>
    </row>
    <row r="8">
      <c r="A8" s="3" t="inlineStr">
        <is>
          <t>Total Unusual Items</t>
        </is>
      </c>
      <c r="C8" s="25" t="n">
        <v>-208.1</v>
      </c>
      <c r="D8" s="25" t="n">
        <v>-137.1</v>
      </c>
      <c r="E8" s="25" t="n">
        <v>51.9</v>
      </c>
      <c r="F8" s="25" t="n">
        <v>1093.6</v>
      </c>
    </row>
    <row r="9">
      <c r="A9" s="3" t="inlineStr">
        <is>
          <t>Total Unusual Items Excluding Goodwill</t>
        </is>
      </c>
      <c r="C9" s="25" t="n">
        <v>-208.1</v>
      </c>
      <c r="D9" s="25" t="n">
        <v>-137.1</v>
      </c>
      <c r="E9" s="25" t="n">
        <v>51.9</v>
      </c>
      <c r="F9" s="25" t="n">
        <v>1093.6</v>
      </c>
    </row>
    <row r="10">
      <c r="A10" s="3" t="inlineStr">
        <is>
          <t>Net Income From Continuing Operation Net Minority Interest</t>
        </is>
      </c>
      <c r="C10" s="25" t="n">
        <v>698</v>
      </c>
      <c r="D10" s="25" t="n">
        <v>722.2</v>
      </c>
      <c r="E10" s="25" t="n">
        <v>1245</v>
      </c>
      <c r="F10" s="25" t="n">
        <v>3567.4</v>
      </c>
    </row>
    <row r="11">
      <c r="A11" s="3" t="inlineStr">
        <is>
          <t>Reconciled Depreciation</t>
        </is>
      </c>
      <c r="C11" s="25" t="n">
        <v>844.3</v>
      </c>
      <c r="D11" s="25" t="n">
        <v>795.3</v>
      </c>
      <c r="E11" s="25" t="n">
        <v>627.4</v>
      </c>
      <c r="F11" s="25" t="n">
        <v>920.4</v>
      </c>
    </row>
    <row r="12">
      <c r="A12" s="3" t="inlineStr">
        <is>
          <t>Reconciled Cost Of Revenue</t>
        </is>
      </c>
      <c r="C12" s="25" t="n">
        <v>2718.1</v>
      </c>
      <c r="D12" s="25" t="n">
        <v>2863.4</v>
      </c>
      <c r="E12" s="25" t="n">
        <v>2991.4</v>
      </c>
      <c r="F12" s="25" t="n">
        <v>3912.7</v>
      </c>
    </row>
    <row r="13">
      <c r="A13" s="3" t="inlineStr">
        <is>
          <t>EBITDA</t>
        </is>
      </c>
      <c r="C13" s="25" t="n">
        <v>2067.6</v>
      </c>
      <c r="D13" s="25" t="n">
        <v>2068.5</v>
      </c>
      <c r="E13" s="25" t="n">
        <v>2665.4</v>
      </c>
      <c r="F13" s="25" t="n">
        <v>6335.7</v>
      </c>
    </row>
    <row r="14">
      <c r="A14" s="3" t="inlineStr">
        <is>
          <t>EBIT</t>
        </is>
      </c>
      <c r="C14" s="25" t="n">
        <v>1223.3</v>
      </c>
      <c r="D14" s="25" t="n">
        <v>1273.2</v>
      </c>
      <c r="E14" s="25" t="n">
        <v>2038</v>
      </c>
      <c r="F14" s="25" t="n">
        <v>5415.3</v>
      </c>
    </row>
    <row r="15">
      <c r="A15" s="3" t="inlineStr">
        <is>
          <t>Net Interest Income</t>
        </is>
      </c>
      <c r="C15" s="25" t="n">
        <v>-59.3</v>
      </c>
      <c r="D15" s="25" t="n">
        <v>-38.3</v>
      </c>
      <c r="E15" s="25" t="n">
        <v>-21.8</v>
      </c>
      <c r="F15" s="25" t="n">
        <v>-67.40000000000001</v>
      </c>
    </row>
    <row r="16">
      <c r="A16" s="3" t="inlineStr">
        <is>
          <t>Interest Expense</t>
        </is>
      </c>
      <c r="C16" s="25" t="n">
        <v>72.5</v>
      </c>
      <c r="D16" s="25" t="n">
        <v>62.9</v>
      </c>
      <c r="E16" s="25" t="n">
        <v>50.4</v>
      </c>
      <c r="F16" s="25" t="n">
        <v>120.7</v>
      </c>
    </row>
    <row r="17">
      <c r="A17" s="3" t="inlineStr">
        <is>
          <t>Interest Income</t>
        </is>
      </c>
      <c r="C17" s="25" t="n">
        <v>13.2</v>
      </c>
      <c r="D17" s="25" t="n">
        <v>24.6</v>
      </c>
      <c r="E17" s="25" t="n">
        <v>28.6</v>
      </c>
      <c r="F17" s="25" t="n">
        <v>53.3</v>
      </c>
    </row>
    <row r="18">
      <c r="A18" s="3" t="inlineStr">
        <is>
          <t>Normalized Income</t>
        </is>
      </c>
      <c r="C18" s="25" t="n">
        <v>826.15473583594</v>
      </c>
      <c r="D18" s="25" t="n">
        <v>806.614541849128</v>
      </c>
      <c r="E18" s="25" t="n">
        <v>1211.265</v>
      </c>
      <c r="F18" s="25" t="n">
        <v>2812.816</v>
      </c>
    </row>
    <row r="19">
      <c r="A19" s="3" t="inlineStr">
        <is>
          <t>Net Income From Continuing And Discontinued Operation</t>
        </is>
      </c>
      <c r="C19" s="25" t="n">
        <v>711</v>
      </c>
      <c r="D19" s="25" t="n">
        <v>703.3</v>
      </c>
      <c r="E19" s="25" t="n">
        <v>1245</v>
      </c>
      <c r="F19" s="25" t="n">
        <v>3567.4</v>
      </c>
    </row>
    <row r="20">
      <c r="A20" s="3" t="inlineStr">
        <is>
          <t>Total Expenses</t>
        </is>
      </c>
      <c r="C20" s="25" t="n">
        <v>2850.3</v>
      </c>
      <c r="D20" s="25" t="n">
        <v>3033.6</v>
      </c>
      <c r="E20" s="25" t="n">
        <v>3108.4</v>
      </c>
      <c r="F20" s="25" t="n">
        <v>4345.8</v>
      </c>
    </row>
    <row r="21">
      <c r="A21" s="3" t="inlineStr">
        <is>
          <t>Diluted Average Shares</t>
        </is>
      </c>
      <c r="C21" s="25" t="n">
        <v>893.916246</v>
      </c>
      <c r="D21" s="25" t="n">
        <v>895.037887</v>
      </c>
      <c r="E21" s="25" t="n">
        <v>895.503589</v>
      </c>
      <c r="F21" s="25" t="n">
        <v>897.339333</v>
      </c>
    </row>
    <row r="22">
      <c r="A22" s="3" t="inlineStr">
        <is>
          <t>Basic Average Shares</t>
        </is>
      </c>
      <c r="C22" s="25" t="n">
        <v>890.968721</v>
      </c>
      <c r="D22" s="25" t="n">
        <v>893.318864</v>
      </c>
      <c r="E22" s="25" t="n">
        <v>894.881526</v>
      </c>
      <c r="F22" s="25" t="n">
        <v>894.972803</v>
      </c>
    </row>
    <row r="23">
      <c r="A23" s="3" t="inlineStr">
        <is>
          <t>Diluted EPS</t>
        </is>
      </c>
      <c r="C23" s="25" t="n">
        <v>7.8e-13</v>
      </c>
      <c r="D23" s="25" t="n">
        <v>7.700000000000001e-13</v>
      </c>
      <c r="E23" s="25" t="n">
        <v>1.38e-12</v>
      </c>
      <c r="F23" s="25" t="n">
        <v>3.940000000000001e-12</v>
      </c>
    </row>
    <row r="24">
      <c r="A24" s="3" t="inlineStr">
        <is>
          <t>Basic EPS</t>
        </is>
      </c>
      <c r="C24" s="25" t="n">
        <v>8e-13</v>
      </c>
      <c r="D24" s="25" t="n">
        <v>7.900000000000001e-13</v>
      </c>
      <c r="E24" s="25" t="n">
        <v>1.39e-12</v>
      </c>
      <c r="F24" s="25" t="n">
        <v>3.99e-12</v>
      </c>
    </row>
    <row r="25">
      <c r="A25" s="3" t="inlineStr">
        <is>
          <t>Diluted NI Availto Com Stockholders</t>
        </is>
      </c>
      <c r="C25" s="25" t="n">
        <v>701.3</v>
      </c>
      <c r="D25" s="25" t="n">
        <v>692.2</v>
      </c>
      <c r="E25" s="25" t="n">
        <v>1234.4</v>
      </c>
      <c r="F25" s="25" t="n">
        <v>3538</v>
      </c>
    </row>
    <row r="26">
      <c r="A26" s="3" t="inlineStr">
        <is>
          <t>Average Dilution Earnings</t>
        </is>
      </c>
      <c r="C26" s="25" t="n">
        <v>-9.699999999999999</v>
      </c>
      <c r="D26" s="25" t="n">
        <v>-11.1</v>
      </c>
      <c r="E26" s="25" t="n">
        <v>-10.6</v>
      </c>
      <c r="F26" s="25" t="n">
        <v>-29.4</v>
      </c>
    </row>
    <row r="27">
      <c r="A27" s="3" t="inlineStr">
        <is>
          <t>Net Income Common Stockholders</t>
        </is>
      </c>
      <c r="C27" s="25" t="n">
        <v>711</v>
      </c>
      <c r="D27" s="25" t="n">
        <v>703.3</v>
      </c>
      <c r="E27" s="25" t="n">
        <v>1245</v>
      </c>
      <c r="F27" s="25" t="n">
        <v>3567.4</v>
      </c>
    </row>
    <row r="28">
      <c r="A28" s="3" t="inlineStr">
        <is>
          <t>Net Income</t>
        </is>
      </c>
      <c r="C28" s="25" t="n">
        <v>711</v>
      </c>
      <c r="D28" s="25" t="n">
        <v>703.3</v>
      </c>
      <c r="E28" s="25" t="n">
        <v>1245</v>
      </c>
      <c r="F28" s="25" t="n">
        <v>3567.4</v>
      </c>
    </row>
    <row r="29">
      <c r="A29" s="3" t="inlineStr">
        <is>
          <t>Minority Interests</t>
        </is>
      </c>
      <c r="C29" s="25" t="n">
        <v>-10.7</v>
      </c>
      <c r="D29" s="25" t="n">
        <v>-23</v>
      </c>
      <c r="E29" s="25" t="n">
        <v>-45.5</v>
      </c>
      <c r="F29" s="25" t="n">
        <v>-78</v>
      </c>
    </row>
    <row r="30">
      <c r="A30" s="3" t="inlineStr">
        <is>
          <t>Net Income Including Noncontrolling Interests</t>
        </is>
      </c>
      <c r="C30" s="25" t="n">
        <v>721.7</v>
      </c>
      <c r="D30" s="25" t="n">
        <v>726.3</v>
      </c>
      <c r="E30" s="25" t="n">
        <v>1290.5</v>
      </c>
      <c r="F30" s="25" t="n">
        <v>3645.4</v>
      </c>
    </row>
    <row r="31">
      <c r="A31" s="3" t="inlineStr">
        <is>
          <t>Net Income Discontinuous Operations</t>
        </is>
      </c>
      <c r="C31" s="25" t="n">
        <v>13</v>
      </c>
      <c r="D31" s="25" t="n">
        <v>-18.9</v>
      </c>
      <c r="E31" s="25" t="n">
        <v>0</v>
      </c>
      <c r="F31" s="25" t="n">
        <v>0</v>
      </c>
    </row>
    <row r="32">
      <c r="A32" s="3" t="inlineStr">
        <is>
          <t>Net Income Continuous Operations</t>
        </is>
      </c>
      <c r="C32" s="25" t="n">
        <v>708.7</v>
      </c>
      <c r="D32" s="25" t="n">
        <v>745.2</v>
      </c>
      <c r="E32" s="25" t="n">
        <v>1290.5</v>
      </c>
      <c r="F32" s="25" t="n">
        <v>3645.4</v>
      </c>
    </row>
    <row r="33">
      <c r="A33" s="3" t="inlineStr">
        <is>
          <t>Tax Provision</t>
        </is>
      </c>
      <c r="C33" s="25" t="n">
        <v>442.1</v>
      </c>
      <c r="D33" s="25" t="n">
        <v>465.1</v>
      </c>
      <c r="E33" s="25" t="n">
        <v>697.1</v>
      </c>
      <c r="F33" s="25" t="n">
        <v>1649.2</v>
      </c>
    </row>
    <row r="34">
      <c r="A34" s="3" t="inlineStr">
        <is>
          <t>Pretax Income</t>
        </is>
      </c>
      <c r="C34" s="25" t="n">
        <v>1150.8</v>
      </c>
      <c r="D34" s="25" t="n">
        <v>1210.3</v>
      </c>
      <c r="E34" s="25" t="n">
        <v>1987.6</v>
      </c>
      <c r="F34" s="25" t="n">
        <v>5294.6</v>
      </c>
    </row>
    <row r="35">
      <c r="A35" s="3" t="inlineStr">
        <is>
          <t>Other Income Expense</t>
        </is>
      </c>
      <c r="C35" s="25" t="n">
        <v>-226.3</v>
      </c>
      <c r="D35" s="25" t="n">
        <v>-218.5</v>
      </c>
      <c r="E35" s="25" t="n">
        <v>-83.8</v>
      </c>
      <c r="F35" s="25" t="n">
        <v>956.5</v>
      </c>
    </row>
    <row r="36">
      <c r="A36" s="3" t="inlineStr">
        <is>
          <t>Other Non Operating Income Expenses</t>
        </is>
      </c>
      <c r="C36" s="25" t="n">
        <v>-15.3</v>
      </c>
      <c r="D36" s="25" t="n">
        <v>-48.8</v>
      </c>
      <c r="E36" s="25" t="n">
        <v>-82.09999999999999</v>
      </c>
      <c r="F36" s="25" t="n">
        <v>-134.8</v>
      </c>
    </row>
    <row r="37">
      <c r="A37" s="3" t="inlineStr">
        <is>
          <t>Special Income Charges</t>
        </is>
      </c>
      <c r="C37" s="25" t="n">
        <v>-238.9</v>
      </c>
      <c r="D37" s="25" t="n">
        <v>-131.8</v>
      </c>
      <c r="E37" s="25" t="n">
        <v>58.4</v>
      </c>
      <c r="F37" s="25" t="n">
        <v>1028.9</v>
      </c>
    </row>
    <row r="38">
      <c r="A38" s="3" t="inlineStr">
        <is>
          <t>Gain On Sale Of Ppe</t>
        </is>
      </c>
      <c r="C38" s="25" t="n">
        <v>10.4</v>
      </c>
      <c r="D38" s="25" t="n">
        <v>32.4</v>
      </c>
      <c r="E38" s="25" t="n">
        <v>68.5</v>
      </c>
      <c r="F38" s="25" t="n">
        <v>1.1</v>
      </c>
    </row>
    <row r="39">
      <c r="A39" s="3" t="inlineStr">
        <is>
          <t>Gain On Sale Of Business</t>
        </is>
      </c>
      <c r="B39" s="25" t="n">
        <v>0</v>
      </c>
    </row>
    <row r="40">
      <c r="A40" s="3" t="inlineStr">
        <is>
          <t>Other Special Charges</t>
        </is>
      </c>
      <c r="E40" s="25" t="n">
        <v>42.3</v>
      </c>
      <c r="F40" s="25" t="n">
        <v>-720.5</v>
      </c>
    </row>
    <row r="41">
      <c r="A41" s="3" t="inlineStr">
        <is>
          <t>Write Off</t>
        </is>
      </c>
      <c r="C41" s="25" t="n">
        <v>113.6</v>
      </c>
      <c r="D41" s="25" t="n">
        <v>0</v>
      </c>
      <c r="E41" s="25" t="n">
        <v>0</v>
      </c>
      <c r="F41" s="25" t="n">
        <v>-808.2</v>
      </c>
    </row>
    <row r="42">
      <c r="A42" s="3" t="inlineStr">
        <is>
          <t>Impairment Of Capital Assets</t>
        </is>
      </c>
      <c r="C42" s="25" t="n">
        <v>391.4</v>
      </c>
      <c r="D42" s="25" t="n">
        <v>156.4</v>
      </c>
      <c r="E42" s="25" t="n">
        <v>3.5</v>
      </c>
      <c r="F42" s="25" t="n">
        <v>-281.3</v>
      </c>
    </row>
    <row r="43">
      <c r="A43" s="3" t="inlineStr">
        <is>
          <t>Restructuring And Mergern Acquisition</t>
        </is>
      </c>
      <c r="C43" s="25" t="n">
        <v>-255.7</v>
      </c>
      <c r="D43" s="25" t="n">
        <v>7.8</v>
      </c>
      <c r="E43" s="25" t="n">
        <v>6.6</v>
      </c>
      <c r="F43" s="25" t="n">
        <v>61.7</v>
      </c>
    </row>
    <row r="44">
      <c r="A44" s="3" t="inlineStr">
        <is>
          <t>Earnings From Equity Interest</t>
        </is>
      </c>
      <c r="C44" s="25" t="n">
        <v>-2.9</v>
      </c>
      <c r="D44" s="25" t="n">
        <v>-32.6</v>
      </c>
      <c r="E44" s="25" t="n">
        <v>-53.6</v>
      </c>
      <c r="F44" s="25" t="n">
        <v>-2.3</v>
      </c>
    </row>
    <row r="45">
      <c r="A45" s="3" t="inlineStr">
        <is>
          <t>Gain On Sale Of Security</t>
        </is>
      </c>
      <c r="C45" s="25" t="n">
        <v>30.8</v>
      </c>
      <c r="D45" s="25" t="n">
        <v>-5.3</v>
      </c>
      <c r="E45" s="25" t="n">
        <v>-6.5</v>
      </c>
      <c r="F45" s="25" t="n">
        <v>64.7</v>
      </c>
    </row>
    <row r="46">
      <c r="A46" s="3" t="inlineStr">
        <is>
          <t>Net Non Operating Interest Income Expense</t>
        </is>
      </c>
      <c r="C46" s="25" t="n">
        <v>-59.3</v>
      </c>
      <c r="D46" s="25" t="n">
        <v>-38.3</v>
      </c>
      <c r="E46" s="25" t="n">
        <v>-21.8</v>
      </c>
      <c r="F46" s="25" t="n">
        <v>-67.40000000000001</v>
      </c>
    </row>
    <row r="47">
      <c r="A47" s="3" t="inlineStr">
        <is>
          <t>Interest Expense Non Operating</t>
        </is>
      </c>
      <c r="C47" s="25" t="n">
        <v>72.5</v>
      </c>
      <c r="D47" s="25" t="n">
        <v>62.9</v>
      </c>
      <c r="E47" s="25" t="n">
        <v>50.4</v>
      </c>
      <c r="F47" s="25" t="n">
        <v>120.7</v>
      </c>
    </row>
    <row r="48">
      <c r="A48" s="3" t="inlineStr">
        <is>
          <t>Interest Income Non Operating</t>
        </is>
      </c>
      <c r="C48" s="25" t="n">
        <v>13.2</v>
      </c>
      <c r="D48" s="25" t="n">
        <v>24.6</v>
      </c>
      <c r="E48" s="25" t="n">
        <v>28.6</v>
      </c>
      <c r="F48" s="25" t="n">
        <v>53.3</v>
      </c>
    </row>
    <row r="49">
      <c r="A49" s="3" t="inlineStr">
        <is>
          <t>Operating Income</t>
        </is>
      </c>
      <c r="C49" s="25" t="n">
        <v>1436.4</v>
      </c>
      <c r="D49" s="25" t="n">
        <v>1467.1</v>
      </c>
      <c r="E49" s="25" t="n">
        <v>2093.2</v>
      </c>
      <c r="F49" s="25" t="n">
        <v>4405.5</v>
      </c>
    </row>
    <row r="50">
      <c r="A50" s="3" t="inlineStr">
        <is>
          <t>Operating Expense</t>
        </is>
      </c>
      <c r="C50" s="25" t="n">
        <v>132.2</v>
      </c>
      <c r="D50" s="25" t="n">
        <v>170.2</v>
      </c>
      <c r="E50" s="25" t="n">
        <v>117</v>
      </c>
      <c r="F50" s="25" t="n">
        <v>433.1</v>
      </c>
    </row>
    <row r="51">
      <c r="A51" s="3" t="inlineStr">
        <is>
          <t>Other Operating Expenses</t>
        </is>
      </c>
      <c r="C51" s="25" t="n">
        <v>78.8</v>
      </c>
      <c r="D51" s="25" t="n">
        <v>72.09999999999999</v>
      </c>
      <c r="E51" s="25" t="n">
        <v>98.09999999999999</v>
      </c>
      <c r="F51" s="25" t="n">
        <v>298.5</v>
      </c>
    </row>
    <row r="52">
      <c r="A52" s="3" t="inlineStr">
        <is>
          <t>Provision For Doubtful Accounts</t>
        </is>
      </c>
      <c r="C52" s="25" t="n">
        <v>17.5</v>
      </c>
      <c r="D52" s="25" t="n">
        <v>33.2</v>
      </c>
      <c r="E52" s="25" t="n">
        <v>0</v>
      </c>
      <c r="F52" s="25" t="n">
        <v>66</v>
      </c>
    </row>
    <row r="53">
      <c r="A53" s="3" t="inlineStr">
        <is>
          <t>Selling General And Administration</t>
        </is>
      </c>
      <c r="C53" s="25" t="n">
        <v>35.9</v>
      </c>
      <c r="D53" s="25" t="n">
        <v>64.90000000000001</v>
      </c>
      <c r="E53" s="25" t="n">
        <v>18.9</v>
      </c>
      <c r="F53" s="25" t="n">
        <v>68.59999999999999</v>
      </c>
    </row>
    <row r="54">
      <c r="A54" s="3" t="inlineStr">
        <is>
          <t>General And Administrative Expense</t>
        </is>
      </c>
      <c r="C54" s="25" t="n">
        <v>35.9</v>
      </c>
      <c r="D54" s="25" t="n">
        <v>64.90000000000001</v>
      </c>
      <c r="E54" s="25" t="n">
        <v>18.9</v>
      </c>
      <c r="F54" s="25" t="n">
        <v>68.59999999999999</v>
      </c>
    </row>
    <row r="55">
      <c r="A55" s="3" t="inlineStr">
        <is>
          <t>Salaries And Wages</t>
        </is>
      </c>
      <c r="C55" s="25" t="n">
        <v>35.9</v>
      </c>
      <c r="D55" s="25" t="n">
        <v>64.90000000000001</v>
      </c>
      <c r="E55" s="25" t="n">
        <v>18.9</v>
      </c>
      <c r="F55" s="25" t="n">
        <v>68.59999999999999</v>
      </c>
    </row>
    <row r="56">
      <c r="A56" s="3" t="inlineStr">
        <is>
          <t>Gross Profit</t>
        </is>
      </c>
      <c r="C56" s="25" t="n">
        <v>1568.6</v>
      </c>
      <c r="D56" s="25" t="n">
        <v>1637.3</v>
      </c>
      <c r="E56" s="25" t="n">
        <v>2210.2</v>
      </c>
      <c r="F56" s="25" t="n">
        <v>4838.6</v>
      </c>
    </row>
    <row r="57">
      <c r="A57" s="3" t="inlineStr">
        <is>
          <t>Cost Of Revenue</t>
        </is>
      </c>
      <c r="C57" s="25" t="n">
        <v>2718.1</v>
      </c>
      <c r="D57" s="25" t="n">
        <v>2863.4</v>
      </c>
      <c r="E57" s="25" t="n">
        <v>2991.4</v>
      </c>
      <c r="F57" s="25" t="n">
        <v>3912.7</v>
      </c>
    </row>
    <row r="58">
      <c r="A58" s="3" t="inlineStr">
        <is>
          <t>Total Revenue</t>
        </is>
      </c>
      <c r="C58" s="25" t="n">
        <v>4286.7</v>
      </c>
      <c r="D58" s="25" t="n">
        <v>4500.7</v>
      </c>
      <c r="E58" s="25" t="n">
        <v>5201.6</v>
      </c>
      <c r="F58" s="25" t="n">
        <v>8751.299999999999</v>
      </c>
    </row>
    <row r="59">
      <c r="A59" s="3" t="inlineStr">
        <is>
          <t>Operating Revenue</t>
        </is>
      </c>
      <c r="C59" s="25" t="n">
        <v>4286.7</v>
      </c>
      <c r="D59" s="25" t="n">
        <v>4500.7</v>
      </c>
      <c r="E59" s="25" t="n">
        <v>5201.6</v>
      </c>
      <c r="F59" s="25" t="n">
        <v>8751.299999999999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GFI — BS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D5" s="25" t="n">
        <v>0</v>
      </c>
      <c r="F5" s="25" t="n">
        <v>0.605707</v>
      </c>
    </row>
    <row r="6">
      <c r="A6" s="3" t="inlineStr">
        <is>
          <t>Ordinary Shares Number</t>
        </is>
      </c>
      <c r="C6" s="25" t="n">
        <v>891.378571</v>
      </c>
      <c r="D6" s="25" t="n">
        <v>893.540813</v>
      </c>
      <c r="E6" s="25" t="n">
        <v>895.0242469999999</v>
      </c>
      <c r="F6" s="25" t="n">
        <v>894.41854</v>
      </c>
    </row>
    <row r="7">
      <c r="A7" s="3" t="inlineStr">
        <is>
          <t>Share Issued</t>
        </is>
      </c>
      <c r="C7" s="25" t="n">
        <v>891.378571</v>
      </c>
      <c r="D7" s="25" t="n">
        <v>893.540813</v>
      </c>
      <c r="E7" s="25" t="n">
        <v>895.0242469999999</v>
      </c>
      <c r="F7" s="25" t="n">
        <v>895.0242469999999</v>
      </c>
    </row>
    <row r="8">
      <c r="A8" s="3" t="inlineStr">
        <is>
          <t>Net Debt</t>
        </is>
      </c>
      <c r="C8" s="25" t="n">
        <v>309.9</v>
      </c>
      <c r="D8" s="25" t="n">
        <v>587.8</v>
      </c>
      <c r="E8" s="25" t="n">
        <v>1635.4</v>
      </c>
      <c r="F8" s="25" t="n">
        <v>959</v>
      </c>
    </row>
    <row r="9">
      <c r="A9" s="3" t="inlineStr">
        <is>
          <t>Total Debt</t>
        </is>
      </c>
      <c r="C9" s="25" t="n">
        <v>1473.5</v>
      </c>
      <c r="D9" s="25" t="n">
        <v>1672.9</v>
      </c>
      <c r="E9" s="25" t="n">
        <v>2945.8</v>
      </c>
      <c r="F9" s="25" t="n">
        <v>3221.2</v>
      </c>
    </row>
    <row r="10">
      <c r="A10" s="3" t="inlineStr">
        <is>
          <t>Tangible Book Value</t>
        </is>
      </c>
      <c r="C10" s="25" t="n">
        <v>4207.6</v>
      </c>
      <c r="D10" s="25" t="n">
        <v>4476.1</v>
      </c>
      <c r="E10" s="25" t="n">
        <v>5201.4</v>
      </c>
      <c r="F10" s="25" t="n">
        <v>8432.6</v>
      </c>
    </row>
    <row r="11">
      <c r="A11" s="3" t="inlineStr">
        <is>
          <t>Invested Capital</t>
        </is>
      </c>
      <c r="C11" s="25" t="n">
        <v>5286.9</v>
      </c>
      <c r="D11" s="25" t="n">
        <v>5712.6</v>
      </c>
      <c r="E11" s="25" t="n">
        <v>7697</v>
      </c>
      <c r="F11" s="25" t="n">
        <v>11170.8</v>
      </c>
    </row>
    <row r="12">
      <c r="A12" s="3" t="inlineStr">
        <is>
          <t>Working Capital</t>
        </is>
      </c>
      <c r="C12" s="25" t="n">
        <v>1017</v>
      </c>
      <c r="D12" s="25" t="n">
        <v>381.9</v>
      </c>
      <c r="E12" s="25" t="n">
        <v>237.4</v>
      </c>
      <c r="F12" s="25" t="n">
        <v>1348.5</v>
      </c>
    </row>
    <row r="13">
      <c r="A13" s="3" t="inlineStr">
        <is>
          <t>Net Tangible Assets</t>
        </is>
      </c>
      <c r="C13" s="25" t="n">
        <v>4207.6</v>
      </c>
      <c r="D13" s="25" t="n">
        <v>4476.1</v>
      </c>
      <c r="E13" s="25" t="n">
        <v>5201.4</v>
      </c>
      <c r="F13" s="25" t="n">
        <v>8432.6</v>
      </c>
    </row>
    <row r="14">
      <c r="A14" s="3" t="inlineStr">
        <is>
          <t>Capital Lease Obligations</t>
        </is>
      </c>
      <c r="C14" s="25" t="n">
        <v>394.2</v>
      </c>
      <c r="D14" s="25" t="n">
        <v>436.4</v>
      </c>
      <c r="E14" s="25" t="n">
        <v>450.2</v>
      </c>
      <c r="F14" s="25" t="n">
        <v>483</v>
      </c>
    </row>
    <row r="15">
      <c r="A15" s="3" t="inlineStr">
        <is>
          <t>Common Stock Equity</t>
        </is>
      </c>
      <c r="C15" s="25" t="n">
        <v>4207.6</v>
      </c>
      <c r="D15" s="25" t="n">
        <v>4476.1</v>
      </c>
      <c r="E15" s="25" t="n">
        <v>5201.4</v>
      </c>
      <c r="F15" s="25" t="n">
        <v>8432.6</v>
      </c>
    </row>
    <row r="16">
      <c r="A16" s="3" t="inlineStr">
        <is>
          <t>Total Capitalization</t>
        </is>
      </c>
      <c r="C16" s="25" t="n">
        <v>5286.9</v>
      </c>
      <c r="D16" s="25" t="n">
        <v>5129.5</v>
      </c>
      <c r="E16" s="25" t="n">
        <v>6977.9</v>
      </c>
      <c r="F16" s="25" t="n">
        <v>10992.1</v>
      </c>
    </row>
    <row r="17">
      <c r="A17" s="3" t="inlineStr">
        <is>
          <t>Total Equity Gross Minority Interest</t>
        </is>
      </c>
      <c r="C17" s="25" t="n">
        <v>4339.5</v>
      </c>
      <c r="D17" s="25" t="n">
        <v>4619.8</v>
      </c>
      <c r="E17" s="25" t="n">
        <v>5366.9</v>
      </c>
      <c r="F17" s="25" t="n">
        <v>8672.4</v>
      </c>
    </row>
    <row r="18">
      <c r="A18" s="3" t="inlineStr">
        <is>
          <t>Minority Interest</t>
        </is>
      </c>
      <c r="C18" s="25" t="n">
        <v>131.9</v>
      </c>
      <c r="D18" s="25" t="n">
        <v>143.7</v>
      </c>
      <c r="E18" s="25" t="n">
        <v>165.5</v>
      </c>
      <c r="F18" s="25" t="n">
        <v>239.8</v>
      </c>
    </row>
    <row r="19">
      <c r="A19" s="3" t="inlineStr">
        <is>
          <t>Stockholders Equity</t>
        </is>
      </c>
      <c r="C19" s="25" t="n">
        <v>4207.6</v>
      </c>
      <c r="D19" s="25" t="n">
        <v>4476.1</v>
      </c>
      <c r="E19" s="25" t="n">
        <v>5201.4</v>
      </c>
      <c r="F19" s="25" t="n">
        <v>8432.6</v>
      </c>
    </row>
    <row r="20">
      <c r="A20" s="3" t="inlineStr">
        <is>
          <t>Gains Losses Not Affecting Retained Earnings</t>
        </is>
      </c>
      <c r="C20" s="25" t="n">
        <v>-2293.1</v>
      </c>
      <c r="D20" s="25" t="n">
        <v>-2359.3</v>
      </c>
      <c r="E20" s="25" t="n">
        <v>-2528.1</v>
      </c>
      <c r="F20" s="25" t="n">
        <v>-2089.5</v>
      </c>
    </row>
    <row r="21">
      <c r="A21" s="3" t="inlineStr">
        <is>
          <t>Other Equity Adjustments</t>
        </is>
      </c>
      <c r="C21" s="25" t="n">
        <v>-2293.1</v>
      </c>
      <c r="D21" s="25" t="n">
        <v>-2359.3</v>
      </c>
      <c r="E21" s="25" t="n">
        <v>-2528.1</v>
      </c>
      <c r="F21" s="25" t="n">
        <v>-2089.5</v>
      </c>
    </row>
    <row r="22">
      <c r="A22" s="3" t="inlineStr">
        <is>
          <t>Retained Earnings</t>
        </is>
      </c>
      <c r="C22" s="25" t="n">
        <v>2629.2</v>
      </c>
      <c r="D22" s="25" t="n">
        <v>2963.9</v>
      </c>
      <c r="E22" s="25" t="n">
        <v>3858</v>
      </c>
      <c r="F22" s="25" t="n">
        <v>6677.3</v>
      </c>
    </row>
    <row r="23">
      <c r="A23" s="3" t="inlineStr">
        <is>
          <t>Capital Stock</t>
        </is>
      </c>
      <c r="C23" s="25" t="n">
        <v>3871.5</v>
      </c>
      <c r="D23" s="25" t="n">
        <v>3871.5</v>
      </c>
      <c r="E23" s="25" t="n">
        <v>3871.5</v>
      </c>
      <c r="F23" s="25" t="n">
        <v>3844.8</v>
      </c>
    </row>
    <row r="24">
      <c r="A24" s="3" t="inlineStr">
        <is>
          <t>Common Stock</t>
        </is>
      </c>
      <c r="C24" s="25" t="n">
        <v>3871.5</v>
      </c>
      <c r="D24" s="25" t="n">
        <v>3871.5</v>
      </c>
      <c r="E24" s="25" t="n">
        <v>3871.5</v>
      </c>
      <c r="F24" s="25" t="n">
        <v>3844.8</v>
      </c>
    </row>
    <row r="25">
      <c r="A25" s="3" t="inlineStr">
        <is>
          <t>Total Liabilities Net Minority Interest</t>
        </is>
      </c>
      <c r="C25" s="25" t="n">
        <v>2998.6</v>
      </c>
      <c r="D25" s="25" t="n">
        <v>3606.5</v>
      </c>
      <c r="E25" s="25" t="n">
        <v>4776</v>
      </c>
      <c r="F25" s="25" t="n">
        <v>6552.8</v>
      </c>
    </row>
    <row r="26">
      <c r="A26" s="3" t="inlineStr">
        <is>
          <t>Total Non Current Liabilities Net Minority Interest</t>
        </is>
      </c>
      <c r="C26" s="25" t="n">
        <v>2213.2</v>
      </c>
      <c r="D26" s="25" t="n">
        <v>2100.7</v>
      </c>
      <c r="E26" s="25" t="n">
        <v>3065.6</v>
      </c>
      <c r="F26" s="25" t="n">
        <v>4852.9</v>
      </c>
    </row>
    <row r="27">
      <c r="A27" s="3" t="inlineStr">
        <is>
          <t>Derivative Product Liabilities</t>
        </is>
      </c>
      <c r="B27" s="25" t="n">
        <v>0</v>
      </c>
    </row>
    <row r="28">
      <c r="A28" s="3" t="inlineStr">
        <is>
          <t>Employee Benefits</t>
        </is>
      </c>
      <c r="C28" s="25" t="n">
        <v>22.4</v>
      </c>
      <c r="D28" s="25" t="n">
        <v>40.5</v>
      </c>
      <c r="E28" s="25" t="n">
        <v>20</v>
      </c>
      <c r="F28" s="25" t="n">
        <v>20.4</v>
      </c>
    </row>
    <row r="29">
      <c r="A29" s="3" t="inlineStr">
        <is>
          <t>Non Current Deferred Liabilities</t>
        </is>
      </c>
      <c r="C29" s="25" t="n">
        <v>399.8</v>
      </c>
      <c r="D29" s="25" t="n">
        <v>389.3</v>
      </c>
      <c r="E29" s="25" t="n">
        <v>503.8</v>
      </c>
      <c r="F29" s="25" t="n">
        <v>1401.7</v>
      </c>
    </row>
    <row r="30">
      <c r="A30" s="3" t="inlineStr">
        <is>
          <t>Non Current Deferred Taxes Liabilities</t>
        </is>
      </c>
      <c r="C30" s="25" t="n">
        <v>399.8</v>
      </c>
      <c r="D30" s="25" t="n">
        <v>389.3</v>
      </c>
      <c r="E30" s="25" t="n">
        <v>503.8</v>
      </c>
      <c r="F30" s="25" t="n">
        <v>1401.7</v>
      </c>
    </row>
    <row r="31">
      <c r="A31" s="3" t="inlineStr">
        <is>
          <t>Long Term Debt And Capital Lease Obligation</t>
        </is>
      </c>
      <c r="C31" s="25" t="n">
        <v>1409.4</v>
      </c>
      <c r="D31" s="25" t="n">
        <v>1013.1</v>
      </c>
      <c r="E31" s="25" t="n">
        <v>2139.8</v>
      </c>
      <c r="F31" s="25" t="n">
        <v>2938.6</v>
      </c>
    </row>
    <row r="32">
      <c r="A32" s="3" t="inlineStr">
        <is>
          <t>Long Term Capital Lease Obligation</t>
        </is>
      </c>
      <c r="C32" s="25" t="n">
        <v>330.1</v>
      </c>
      <c r="D32" s="25" t="n">
        <v>359.7</v>
      </c>
      <c r="E32" s="25" t="n">
        <v>363.3</v>
      </c>
      <c r="F32" s="25" t="n">
        <v>379.1</v>
      </c>
    </row>
    <row r="33">
      <c r="A33" s="3" t="inlineStr">
        <is>
          <t>Long Term Debt</t>
        </is>
      </c>
      <c r="C33" s="25" t="n">
        <v>1079.3</v>
      </c>
      <c r="D33" s="25" t="n">
        <v>653.4</v>
      </c>
      <c r="E33" s="25" t="n">
        <v>1776.5</v>
      </c>
      <c r="F33" s="25" t="n">
        <v>2559.5</v>
      </c>
    </row>
    <row r="34">
      <c r="A34" s="3" t="inlineStr">
        <is>
          <t>Long Term Provisions</t>
        </is>
      </c>
      <c r="C34" s="25" t="n">
        <v>381.6</v>
      </c>
      <c r="D34" s="25" t="n">
        <v>657.8</v>
      </c>
      <c r="E34" s="25" t="n">
        <v>402</v>
      </c>
      <c r="F34" s="25" t="n">
        <v>492.2</v>
      </c>
    </row>
    <row r="35">
      <c r="A35" s="3" t="inlineStr">
        <is>
          <t>Current Liabilities</t>
        </is>
      </c>
      <c r="C35" s="25" t="n">
        <v>785.4</v>
      </c>
      <c r="D35" s="25" t="n">
        <v>1505.8</v>
      </c>
      <c r="E35" s="25" t="n">
        <v>1710.4</v>
      </c>
      <c r="F35" s="25" t="n">
        <v>1699.9</v>
      </c>
    </row>
    <row r="36">
      <c r="A36" s="3" t="inlineStr">
        <is>
          <t>Other Current Liabilities</t>
        </is>
      </c>
      <c r="B36" s="25" t="n">
        <v>17</v>
      </c>
      <c r="C36" s="25" t="n">
        <v>10.2</v>
      </c>
      <c r="F36" s="25" t="n">
        <v>1373.2</v>
      </c>
    </row>
    <row r="37">
      <c r="A37" s="3" t="inlineStr">
        <is>
          <t>Current Debt And Capital Lease Obligation</t>
        </is>
      </c>
      <c r="C37" s="25" t="n">
        <v>64.09999999999999</v>
      </c>
      <c r="D37" s="25" t="n">
        <v>659.8</v>
      </c>
      <c r="E37" s="25" t="n">
        <v>806</v>
      </c>
      <c r="F37" s="25" t="n">
        <v>282.6</v>
      </c>
    </row>
    <row r="38">
      <c r="A38" s="3" t="inlineStr">
        <is>
          <t>Current Capital Lease Obligation</t>
        </is>
      </c>
      <c r="C38" s="25" t="n">
        <v>64.09999999999999</v>
      </c>
      <c r="D38" s="25" t="n">
        <v>76.7</v>
      </c>
      <c r="E38" s="25" t="n">
        <v>86.90000000000001</v>
      </c>
      <c r="F38" s="25" t="n">
        <v>103.9</v>
      </c>
    </row>
    <row r="39">
      <c r="A39" s="3" t="inlineStr">
        <is>
          <t>Current Debt</t>
        </is>
      </c>
      <c r="D39" s="25" t="n">
        <v>583.1</v>
      </c>
      <c r="E39" s="25" t="n">
        <v>719.1</v>
      </c>
      <c r="F39" s="25" t="n">
        <v>178.7</v>
      </c>
    </row>
    <row r="40">
      <c r="A40" s="3" t="inlineStr">
        <is>
          <t>Other Current Borrowings</t>
        </is>
      </c>
      <c r="D40" s="25" t="n">
        <v>583.1</v>
      </c>
      <c r="E40" s="25" t="n">
        <v>719.1</v>
      </c>
      <c r="F40" s="25" t="n">
        <v>178.7</v>
      </c>
    </row>
    <row r="41">
      <c r="A41" s="3" t="inlineStr">
        <is>
          <t>Line Of Credit</t>
        </is>
      </c>
      <c r="E41" s="25" t="n">
        <v>719.1</v>
      </c>
      <c r="F41" s="25" t="n">
        <v>178.7</v>
      </c>
    </row>
    <row r="42">
      <c r="A42" s="3" t="inlineStr">
        <is>
          <t>Pensionand Other Post Retirement Benefit Plans Current</t>
        </is>
      </c>
      <c r="C42" s="25" t="n">
        <v>30.6</v>
      </c>
      <c r="D42" s="25" t="n">
        <v>38.4</v>
      </c>
      <c r="E42" s="25" t="n">
        <v>31</v>
      </c>
      <c r="F42" s="25" t="n">
        <v>44.1</v>
      </c>
    </row>
    <row r="43">
      <c r="A43" s="3" t="inlineStr">
        <is>
          <t>Current Provisions</t>
        </is>
      </c>
      <c r="C43" s="25" t="n">
        <v>18.5</v>
      </c>
      <c r="D43" s="25" t="n">
        <v>47</v>
      </c>
      <c r="E43" s="25" t="n">
        <v>79.2</v>
      </c>
      <c r="F43" s="25" t="n">
        <v>108.3</v>
      </c>
    </row>
    <row r="44">
      <c r="A44" s="3" t="inlineStr">
        <is>
          <t>Payables And Accrued Expenses</t>
        </is>
      </c>
      <c r="C44" s="25" t="n">
        <v>662</v>
      </c>
      <c r="D44" s="25" t="n">
        <v>760.6</v>
      </c>
      <c r="E44" s="25" t="n">
        <v>794.2</v>
      </c>
      <c r="F44" s="25" t="n">
        <v>1264.9</v>
      </c>
    </row>
    <row r="45">
      <c r="A45" s="3" t="inlineStr">
        <is>
          <t>Current Accrued Expenses</t>
        </is>
      </c>
      <c r="C45" s="25" t="n">
        <v>412</v>
      </c>
      <c r="D45" s="25" t="n">
        <v>428</v>
      </c>
      <c r="E45" s="25" t="n">
        <v>454.6</v>
      </c>
      <c r="F45" s="25" t="n">
        <v>595.8</v>
      </c>
    </row>
    <row r="46">
      <c r="A46" s="3" t="inlineStr">
        <is>
          <t>Interest Payable</t>
        </is>
      </c>
      <c r="C46" s="25" t="n">
        <v>7.3</v>
      </c>
      <c r="D46" s="25" t="n">
        <v>7.8</v>
      </c>
      <c r="E46" s="25" t="n">
        <v>6.4</v>
      </c>
      <c r="F46" s="25" t="n">
        <v>10.3</v>
      </c>
    </row>
    <row r="47">
      <c r="A47" s="3" t="inlineStr">
        <is>
          <t>Payables</t>
        </is>
      </c>
      <c r="C47" s="25" t="n">
        <v>250</v>
      </c>
      <c r="D47" s="25" t="n">
        <v>332.6</v>
      </c>
      <c r="E47" s="25" t="n">
        <v>339.6</v>
      </c>
      <c r="F47" s="25" t="n">
        <v>669.1</v>
      </c>
    </row>
    <row r="48">
      <c r="A48" s="3" t="inlineStr">
        <is>
          <t>Other Payable</t>
        </is>
      </c>
      <c r="C48" s="25" t="n">
        <v>63.3</v>
      </c>
      <c r="D48" s="25" t="n">
        <v>75.09999999999999</v>
      </c>
      <c r="E48" s="25" t="n">
        <v>75.5</v>
      </c>
      <c r="F48" s="25" t="n">
        <v>132.6</v>
      </c>
    </row>
    <row r="49">
      <c r="A49" s="3" t="inlineStr">
        <is>
          <t>Total Tax Payable</t>
        </is>
      </c>
      <c r="C49" s="25" t="n">
        <v>53.6</v>
      </c>
      <c r="D49" s="25" t="n">
        <v>95.7</v>
      </c>
      <c r="E49" s="25" t="n">
        <v>112.4</v>
      </c>
      <c r="F49" s="25" t="n">
        <v>311.5</v>
      </c>
    </row>
    <row r="50">
      <c r="A50" s="3" t="inlineStr">
        <is>
          <t>Accounts Payable</t>
        </is>
      </c>
      <c r="C50" s="25" t="n">
        <v>133.1</v>
      </c>
      <c r="D50" s="25" t="n">
        <v>161.8</v>
      </c>
      <c r="E50" s="25" t="n">
        <v>151.7</v>
      </c>
      <c r="F50" s="25" t="n">
        <v>225</v>
      </c>
    </row>
    <row r="51">
      <c r="A51" s="3" t="inlineStr">
        <is>
          <t>Total Assets</t>
        </is>
      </c>
      <c r="C51" s="25" t="n">
        <v>7338.1</v>
      </c>
      <c r="D51" s="25" t="n">
        <v>8226.299999999999</v>
      </c>
      <c r="E51" s="25" t="n">
        <v>10142.9</v>
      </c>
      <c r="F51" s="25" t="n">
        <v>15225.2</v>
      </c>
    </row>
    <row r="52">
      <c r="A52" s="3" t="inlineStr">
        <is>
          <t>Total Non Current Assets</t>
        </is>
      </c>
      <c r="C52" s="25" t="n">
        <v>5535.7</v>
      </c>
      <c r="D52" s="25" t="n">
        <v>6338.6</v>
      </c>
      <c r="E52" s="25" t="n">
        <v>8195.1</v>
      </c>
      <c r="F52" s="25" t="n">
        <v>12176.8</v>
      </c>
    </row>
    <row r="53">
      <c r="A53" s="3" t="inlineStr">
        <is>
          <t>Other Non Current Assets</t>
        </is>
      </c>
      <c r="C53" s="25" t="n">
        <v>205.3</v>
      </c>
      <c r="D53" s="25" t="n">
        <v>252</v>
      </c>
      <c r="E53" s="25" t="n">
        <v>394.4</v>
      </c>
      <c r="F53" s="25" t="n">
        <v>395.4</v>
      </c>
    </row>
    <row r="54">
      <c r="A54" s="3" t="inlineStr">
        <is>
          <t>Non Current Deferred Assets</t>
        </is>
      </c>
      <c r="C54" s="25" t="n">
        <v>195.5</v>
      </c>
      <c r="D54" s="25" t="n">
        <v>172.2</v>
      </c>
      <c r="E54" s="25" t="n">
        <v>154.9</v>
      </c>
      <c r="F54" s="25" t="n">
        <v>38.2</v>
      </c>
    </row>
    <row r="55">
      <c r="A55" s="3" t="inlineStr">
        <is>
          <t>Non Current Deferred Taxes Assets</t>
        </is>
      </c>
      <c r="C55" s="25" t="n">
        <v>195.5</v>
      </c>
      <c r="D55" s="25" t="n">
        <v>172.2</v>
      </c>
      <c r="E55" s="25" t="n">
        <v>154.9</v>
      </c>
      <c r="F55" s="25" t="n">
        <v>38.2</v>
      </c>
    </row>
    <row r="56">
      <c r="A56" s="3" t="inlineStr">
        <is>
          <t>Non Current Note Receivables</t>
        </is>
      </c>
      <c r="B56" s="25" t="n">
        <v>27.3</v>
      </c>
      <c r="C56" s="25" t="n">
        <v>23.4</v>
      </c>
      <c r="D56" s="25" t="n">
        <v>0</v>
      </c>
    </row>
    <row r="57">
      <c r="A57" s="3" t="inlineStr">
        <is>
          <t>Non Current Accounts Receivable</t>
        </is>
      </c>
      <c r="D57" s="25" t="n">
        <v>75.7</v>
      </c>
      <c r="E57" s="25" t="n">
        <v>69.7</v>
      </c>
      <c r="F57" s="25" t="n">
        <v>73.09999999999999</v>
      </c>
    </row>
    <row r="58">
      <c r="A58" s="3" t="inlineStr">
        <is>
          <t>Financial Assets</t>
        </is>
      </c>
      <c r="B58" s="25" t="n">
        <v>0</v>
      </c>
    </row>
    <row r="59">
      <c r="A59" s="3" t="inlineStr">
        <is>
          <t>Investments And Advances</t>
        </is>
      </c>
      <c r="C59" s="25" t="n">
        <v>295.8</v>
      </c>
      <c r="D59" s="25" t="n">
        <v>764.3</v>
      </c>
      <c r="E59" s="25" t="n">
        <v>277.7</v>
      </c>
      <c r="F59" s="25" t="n">
        <v>333.3</v>
      </c>
    </row>
    <row r="60">
      <c r="A60" s="3" t="inlineStr">
        <is>
          <t>Other Investments</t>
        </is>
      </c>
      <c r="C60" s="25" t="n">
        <v>176.4</v>
      </c>
      <c r="D60" s="25" t="n">
        <v>109.6</v>
      </c>
      <c r="E60" s="25" t="n">
        <v>113.4</v>
      </c>
      <c r="F60" s="25" t="n">
        <v>148.1</v>
      </c>
    </row>
    <row r="61">
      <c r="A61" s="3" t="inlineStr">
        <is>
          <t>Investmentin Financial Assets</t>
        </is>
      </c>
      <c r="C61" s="25" t="n">
        <v>34.5</v>
      </c>
      <c r="D61" s="25" t="n">
        <v>106.1</v>
      </c>
      <c r="E61" s="25" t="n">
        <v>151.7</v>
      </c>
      <c r="F61" s="25" t="n">
        <v>182.4</v>
      </c>
    </row>
    <row r="62">
      <c r="A62" s="3" t="inlineStr">
        <is>
          <t>Held To Maturity Securities</t>
        </is>
      </c>
      <c r="D62" s="25" t="n">
        <v>40.4</v>
      </c>
      <c r="E62" s="25" t="n">
        <v>37.2</v>
      </c>
      <c r="F62" s="25" t="n">
        <v>40</v>
      </c>
    </row>
    <row r="63">
      <c r="A63" s="3" t="inlineStr">
        <is>
          <t>Available For Sale Securities</t>
        </is>
      </c>
      <c r="C63" s="25" t="n">
        <v>34.5</v>
      </c>
      <c r="D63" s="25" t="n">
        <v>65.7</v>
      </c>
      <c r="E63" s="25" t="n">
        <v>114.5</v>
      </c>
      <c r="F63" s="25" t="n">
        <v>142.4</v>
      </c>
    </row>
    <row r="64">
      <c r="A64" s="3" t="inlineStr">
        <is>
          <t>Long Term Equity Investment</t>
        </is>
      </c>
      <c r="C64" s="25" t="n">
        <v>84.90000000000001</v>
      </c>
      <c r="D64" s="25" t="n">
        <v>548.6</v>
      </c>
      <c r="E64" s="25" t="n">
        <v>12.6</v>
      </c>
      <c r="F64" s="25" t="n">
        <v>2.8</v>
      </c>
    </row>
    <row r="65">
      <c r="A65" s="3" t="inlineStr">
        <is>
          <t>Net PPE</t>
        </is>
      </c>
      <c r="C65" s="25" t="n">
        <v>4815.7</v>
      </c>
      <c r="D65" s="25" t="n">
        <v>5074.4</v>
      </c>
      <c r="E65" s="25" t="n">
        <v>7298.4</v>
      </c>
      <c r="F65" s="25" t="n">
        <v>11336.8</v>
      </c>
    </row>
    <row r="66">
      <c r="A66" s="3" t="inlineStr">
        <is>
          <t>Accumulated Depreciation</t>
        </is>
      </c>
      <c r="C66" s="25" t="n">
        <v>-7977.1</v>
      </c>
      <c r="D66" s="25" t="n">
        <v>-8695.5</v>
      </c>
      <c r="E66" s="25" t="n">
        <v>-8980.799999999999</v>
      </c>
      <c r="F66" s="25" t="n">
        <v>-9535.700000000001</v>
      </c>
    </row>
    <row r="67">
      <c r="A67" s="3" t="inlineStr">
        <is>
          <t>Gross PPE</t>
        </is>
      </c>
      <c r="C67" s="25" t="n">
        <v>12792.8</v>
      </c>
      <c r="D67" s="25" t="n">
        <v>13769.9</v>
      </c>
      <c r="E67" s="25" t="n">
        <v>16279.2</v>
      </c>
      <c r="F67" s="25" t="n">
        <v>20872.5</v>
      </c>
    </row>
    <row r="68">
      <c r="A68" s="3" t="inlineStr">
        <is>
          <t>Current Assets</t>
        </is>
      </c>
      <c r="C68" s="25" t="n">
        <v>1802.4</v>
      </c>
      <c r="D68" s="25" t="n">
        <v>1887.7</v>
      </c>
      <c r="E68" s="25" t="n">
        <v>1947.8</v>
      </c>
      <c r="F68" s="25" t="n">
        <v>3048.4</v>
      </c>
    </row>
    <row r="69">
      <c r="A69" s="3" t="inlineStr">
        <is>
          <t>Other Current Assets</t>
        </is>
      </c>
      <c r="E69" s="25" t="n">
        <v>23.3</v>
      </c>
      <c r="F69" s="25" t="n">
        <v>28.1</v>
      </c>
    </row>
    <row r="70">
      <c r="A70" s="3" t="inlineStr">
        <is>
          <t>Hedging Assets Current</t>
        </is>
      </c>
      <c r="B70" s="25" t="n">
        <v>5.1</v>
      </c>
      <c r="C70" s="25" t="n">
        <v>0</v>
      </c>
    </row>
    <row r="71">
      <c r="A71" s="3" t="inlineStr">
        <is>
          <t>Assets Held For Sale Current</t>
        </is>
      </c>
      <c r="C71" s="25" t="n">
        <v>0</v>
      </c>
      <c r="D71" s="25" t="n">
        <v>153.3</v>
      </c>
      <c r="E71" s="25" t="n">
        <v>21.1</v>
      </c>
      <c r="F71" s="25" t="n">
        <v>77.5</v>
      </c>
    </row>
    <row r="72">
      <c r="A72" s="3" t="inlineStr">
        <is>
          <t>Current Deferred Assets</t>
        </is>
      </c>
      <c r="D72" s="25" t="n">
        <v>0</v>
      </c>
      <c r="E72" s="25" t="n">
        <v>23.3</v>
      </c>
    </row>
    <row r="73">
      <c r="A73" s="3" t="inlineStr">
        <is>
          <t>Prepaid Assets</t>
        </is>
      </c>
      <c r="C73" s="25" t="n">
        <v>66.3</v>
      </c>
      <c r="D73" s="25" t="n">
        <v>59.3</v>
      </c>
      <c r="E73" s="25" t="n">
        <v>50.8</v>
      </c>
      <c r="F73" s="25" t="n">
        <v>81.59999999999999</v>
      </c>
    </row>
    <row r="74">
      <c r="A74" s="3" t="inlineStr">
        <is>
          <t>Inventory</t>
        </is>
      </c>
      <c r="C74" s="25" t="n">
        <v>759</v>
      </c>
      <c r="D74" s="25" t="n">
        <v>827.9</v>
      </c>
      <c r="E74" s="25" t="n">
        <v>699.3</v>
      </c>
      <c r="F74" s="25" t="n">
        <v>782.6</v>
      </c>
    </row>
    <row r="75">
      <c r="A75" s="3" t="inlineStr">
        <is>
          <t>Work In Process</t>
        </is>
      </c>
      <c r="C75" s="25" t="n">
        <v>520.4</v>
      </c>
      <c r="D75" s="25" t="n">
        <v>562.7</v>
      </c>
      <c r="E75" s="25" t="n">
        <v>441.2</v>
      </c>
      <c r="F75" s="25" t="n">
        <v>471.8</v>
      </c>
    </row>
    <row r="76">
      <c r="A76" s="3" t="inlineStr">
        <is>
          <t>Raw Materials</t>
        </is>
      </c>
      <c r="C76" s="25" t="n">
        <v>238.6</v>
      </c>
      <c r="D76" s="25" t="n">
        <v>265.2</v>
      </c>
      <c r="E76" s="25" t="n">
        <v>258.1</v>
      </c>
      <c r="F76" s="25" t="n">
        <v>310.8</v>
      </c>
    </row>
    <row r="77">
      <c r="A77" s="3" t="inlineStr">
        <is>
          <t>Receivables</t>
        </is>
      </c>
      <c r="C77" s="25" t="n">
        <v>207.7</v>
      </c>
      <c r="D77" s="25" t="n">
        <v>198.5</v>
      </c>
      <c r="E77" s="25" t="n">
        <v>293.1</v>
      </c>
      <c r="F77" s="25" t="n">
        <v>299.4</v>
      </c>
    </row>
    <row r="78">
      <c r="A78" s="3" t="inlineStr">
        <is>
          <t>Other Receivables</t>
        </is>
      </c>
      <c r="C78" s="25" t="n">
        <v>22.5</v>
      </c>
      <c r="D78" s="25" t="n">
        <v>31</v>
      </c>
      <c r="E78" s="25" t="n">
        <v>27.4</v>
      </c>
      <c r="F78" s="25" t="n">
        <v>31.8</v>
      </c>
    </row>
    <row r="79">
      <c r="A79" s="3" t="inlineStr">
        <is>
          <t>Taxes Receivable</t>
        </is>
      </c>
      <c r="C79" s="25" t="n">
        <v>129.4</v>
      </c>
      <c r="D79" s="25" t="n">
        <v>98.8</v>
      </c>
      <c r="E79" s="25" t="n">
        <v>113</v>
      </c>
      <c r="F79" s="25" t="n">
        <v>123.5</v>
      </c>
    </row>
    <row r="80">
      <c r="A80" s="3" t="inlineStr">
        <is>
          <t>Accounts Receivable</t>
        </is>
      </c>
      <c r="C80" s="25" t="n">
        <v>55.8</v>
      </c>
      <c r="D80" s="25" t="n">
        <v>68.7</v>
      </c>
      <c r="E80" s="25" t="n">
        <v>152.7</v>
      </c>
      <c r="F80" s="25" t="n">
        <v>144.1</v>
      </c>
    </row>
    <row r="81">
      <c r="A81" s="3" t="inlineStr">
        <is>
          <t>Cash Cash Equivalents And Short Term Investments</t>
        </is>
      </c>
      <c r="C81" s="25" t="n">
        <v>769.4</v>
      </c>
      <c r="D81" s="25" t="n">
        <v>648.7</v>
      </c>
      <c r="E81" s="25" t="n">
        <v>860.2</v>
      </c>
      <c r="F81" s="25" t="n">
        <v>1779.2</v>
      </c>
    </row>
    <row r="82">
      <c r="A82" s="3" t="inlineStr">
        <is>
          <t>Cash And Cash Equivalents</t>
        </is>
      </c>
      <c r="C82" s="25" t="n">
        <v>769.4</v>
      </c>
      <c r="D82" s="25" t="n">
        <v>648.7</v>
      </c>
      <c r="E82" s="25" t="n">
        <v>860.2</v>
      </c>
      <c r="F82" s="25" t="n">
        <v>1779.2</v>
      </c>
    </row>
    <row r="83">
      <c r="A83" s="3" t="inlineStr">
        <is>
          <t>Cash Financial</t>
        </is>
      </c>
      <c r="C83" s="25" t="n">
        <v>769.4</v>
      </c>
      <c r="D83" s="25" t="n">
        <v>648.7</v>
      </c>
      <c r="E83" s="25" t="n">
        <v>860.2</v>
      </c>
      <c r="F83" s="25" t="n">
        <v>1779.2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GFI — CF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309.9</v>
      </c>
      <c r="D5" s="25" t="n">
        <v>138.1</v>
      </c>
      <c r="E5" s="25" t="n">
        <v>423.6</v>
      </c>
      <c r="F5" s="25" t="n">
        <v>2373.7</v>
      </c>
    </row>
    <row r="6">
      <c r="A6" s="3" t="inlineStr">
        <is>
          <t>Repurchase Of Capital Stock</t>
        </is>
      </c>
      <c r="D6" s="25" t="n">
        <v>0</v>
      </c>
      <c r="E6" s="25" t="n">
        <v>0</v>
      </c>
      <c r="F6" s="25" t="n">
        <v>-36.3</v>
      </c>
    </row>
    <row r="7">
      <c r="A7" s="3" t="inlineStr">
        <is>
          <t>Repayment Of Debt</t>
        </is>
      </c>
      <c r="C7" s="25" t="n">
        <v>-263.4</v>
      </c>
      <c r="D7" s="25" t="n">
        <v>-722.4</v>
      </c>
      <c r="E7" s="25" t="n">
        <v>-1078.5</v>
      </c>
      <c r="F7" s="25" t="n">
        <v>-4222.8</v>
      </c>
    </row>
    <row r="8">
      <c r="A8" s="3" t="inlineStr">
        <is>
          <t>Issuance Of Debt</t>
        </is>
      </c>
      <c r="C8" s="25" t="n">
        <v>206.5</v>
      </c>
      <c r="D8" s="25" t="n">
        <v>804.8</v>
      </c>
      <c r="E8" s="25" t="n">
        <v>2291.1</v>
      </c>
      <c r="F8" s="25" t="n">
        <v>4085.8</v>
      </c>
    </row>
    <row r="9">
      <c r="A9" s="3" t="inlineStr">
        <is>
          <t>Issuance Of Capital Stock</t>
        </is>
      </c>
      <c r="B9" s="25" t="n">
        <v>0</v>
      </c>
      <c r="C9" s="25" t="n">
        <v>0</v>
      </c>
    </row>
    <row r="10">
      <c r="A10" s="3" t="inlineStr">
        <is>
          <t>Capital Expenditure</t>
        </is>
      </c>
      <c r="C10" s="25" t="n">
        <v>-1069.3</v>
      </c>
      <c r="D10" s="25" t="n">
        <v>-1054.7</v>
      </c>
      <c r="E10" s="25" t="n">
        <v>-1183.4</v>
      </c>
      <c r="F10" s="25" t="n">
        <v>-1398.5</v>
      </c>
    </row>
    <row r="11">
      <c r="A11" s="3" t="inlineStr">
        <is>
          <t>End Cash Position</t>
        </is>
      </c>
      <c r="C11" s="25" t="n">
        <v>769.4</v>
      </c>
      <c r="D11" s="25" t="n">
        <v>648.7</v>
      </c>
      <c r="E11" s="25" t="n">
        <v>860.2</v>
      </c>
      <c r="F11" s="25" t="n">
        <v>1779.2</v>
      </c>
    </row>
    <row r="12">
      <c r="A12" s="3" t="inlineStr">
        <is>
          <t>Beginning Cash Position</t>
        </is>
      </c>
      <c r="C12" s="25" t="n">
        <v>524.7</v>
      </c>
      <c r="D12" s="25" t="n">
        <v>769.4</v>
      </c>
      <c r="E12" s="25" t="n">
        <v>648.7</v>
      </c>
      <c r="F12" s="25" t="n">
        <v>860.2</v>
      </c>
    </row>
    <row r="13">
      <c r="A13" s="3" t="inlineStr">
        <is>
          <t>Effect Of Exchange Rate Changes</t>
        </is>
      </c>
      <c r="C13" s="25" t="n">
        <v>-5.4</v>
      </c>
      <c r="D13" s="25" t="n">
        <v>-26.2</v>
      </c>
      <c r="E13" s="25" t="n">
        <v>-17.5</v>
      </c>
      <c r="F13" s="25" t="n">
        <v>85.90000000000001</v>
      </c>
    </row>
    <row r="14">
      <c r="A14" s="3" t="inlineStr">
        <is>
          <t>Changes In Cash</t>
        </is>
      </c>
      <c r="C14" s="25" t="n">
        <v>250.1</v>
      </c>
      <c r="D14" s="25" t="n">
        <v>-94.5</v>
      </c>
      <c r="E14" s="25" t="n">
        <v>229</v>
      </c>
      <c r="F14" s="25" t="n">
        <v>833.1</v>
      </c>
    </row>
    <row r="15">
      <c r="A15" s="3" t="inlineStr">
        <is>
          <t>Financing Cash Flow</t>
        </is>
      </c>
      <c r="C15" s="25" t="n">
        <v>-56.9</v>
      </c>
      <c r="D15" s="25" t="n">
        <v>82.40000000000001</v>
      </c>
      <c r="E15" s="25" t="n">
        <v>1212.6</v>
      </c>
      <c r="F15" s="25" t="n">
        <v>-173.3</v>
      </c>
    </row>
    <row r="16">
      <c r="A16" s="3" t="inlineStr">
        <is>
          <t>Cash Flow From Continuing Financing Activities</t>
        </is>
      </c>
      <c r="C16" s="25" t="n">
        <v>-56.9</v>
      </c>
      <c r="D16" s="25" t="n">
        <v>82.40000000000001</v>
      </c>
      <c r="E16" s="25" t="n">
        <v>1212.6</v>
      </c>
      <c r="F16" s="25" t="n">
        <v>-173.3</v>
      </c>
    </row>
    <row r="17">
      <c r="A17" s="3" t="inlineStr">
        <is>
          <t>Net Common Stock Issuance</t>
        </is>
      </c>
      <c r="C17" s="25" t="n">
        <v>0</v>
      </c>
      <c r="D17" s="25" t="n">
        <v>0</v>
      </c>
      <c r="E17" s="25" t="n">
        <v>0</v>
      </c>
      <c r="F17" s="25" t="n">
        <v>-36.3</v>
      </c>
    </row>
    <row r="18">
      <c r="A18" s="3" t="inlineStr">
        <is>
          <t>Common Stock Payments</t>
        </is>
      </c>
      <c r="D18" s="25" t="n">
        <v>0</v>
      </c>
      <c r="E18" s="25" t="n">
        <v>0</v>
      </c>
      <c r="F18" s="25" t="n">
        <v>-36.3</v>
      </c>
    </row>
    <row r="19">
      <c r="A19" s="3" t="inlineStr">
        <is>
          <t>Common Stock Issuance</t>
        </is>
      </c>
      <c r="B19" s="25" t="n">
        <v>0</v>
      </c>
      <c r="C19" s="25" t="n">
        <v>0</v>
      </c>
    </row>
    <row r="20">
      <c r="A20" s="3" t="inlineStr">
        <is>
          <t>Net Issuance Payments Of Debt</t>
        </is>
      </c>
      <c r="C20" s="25" t="n">
        <v>-56.9</v>
      </c>
      <c r="D20" s="25" t="n">
        <v>82.40000000000001</v>
      </c>
      <c r="E20" s="25" t="n">
        <v>1212.6</v>
      </c>
      <c r="F20" s="25" t="n">
        <v>-137</v>
      </c>
    </row>
    <row r="21">
      <c r="A21" s="3" t="inlineStr">
        <is>
          <t>Net Long Term Debt Issuance</t>
        </is>
      </c>
      <c r="C21" s="25" t="n">
        <v>-56.9</v>
      </c>
      <c r="D21" s="25" t="n">
        <v>82.40000000000001</v>
      </c>
      <c r="E21" s="25" t="n">
        <v>1212.6</v>
      </c>
      <c r="F21" s="25" t="n">
        <v>-137</v>
      </c>
    </row>
    <row r="22">
      <c r="A22" s="3" t="inlineStr">
        <is>
          <t>Long Term Debt Payments</t>
        </is>
      </c>
      <c r="C22" s="25" t="n">
        <v>-263.4</v>
      </c>
      <c r="D22" s="25" t="n">
        <v>-722.4</v>
      </c>
      <c r="E22" s="25" t="n">
        <v>-1078.5</v>
      </c>
      <c r="F22" s="25" t="n">
        <v>-4222.8</v>
      </c>
    </row>
    <row r="23">
      <c r="A23" s="3" t="inlineStr">
        <is>
          <t>Long Term Debt Issuance</t>
        </is>
      </c>
      <c r="C23" s="25" t="n">
        <v>206.5</v>
      </c>
      <c r="D23" s="25" t="n">
        <v>804.8</v>
      </c>
      <c r="E23" s="25" t="n">
        <v>2291.1</v>
      </c>
      <c r="F23" s="25" t="n">
        <v>4085.8</v>
      </c>
    </row>
    <row r="24">
      <c r="A24" s="3" t="inlineStr">
        <is>
          <t>Investing Cash Flow</t>
        </is>
      </c>
      <c r="C24" s="25" t="n">
        <v>-1072.2</v>
      </c>
      <c r="D24" s="25" t="n">
        <v>-1369.7</v>
      </c>
      <c r="E24" s="25" t="n">
        <v>-2590.6</v>
      </c>
      <c r="F24" s="25" t="n">
        <v>-2765.8</v>
      </c>
    </row>
    <row r="25">
      <c r="A25" s="3" t="inlineStr">
        <is>
          <t>Cash Flow From Continuing Investing Activities</t>
        </is>
      </c>
      <c r="C25" s="25" t="n">
        <v>-1072.2</v>
      </c>
      <c r="D25" s="25" t="n">
        <v>-1369.7</v>
      </c>
      <c r="E25" s="25" t="n">
        <v>-2590.6</v>
      </c>
      <c r="F25" s="25" t="n">
        <v>-2765.8</v>
      </c>
    </row>
    <row r="26">
      <c r="A26" s="3" t="inlineStr">
        <is>
          <t>Net Other Investing Changes</t>
        </is>
      </c>
      <c r="C26" s="25" t="n">
        <v>26.3</v>
      </c>
      <c r="D26" s="25" t="n">
        <v>35.5</v>
      </c>
      <c r="E26" s="25" t="n">
        <v>-5.2</v>
      </c>
      <c r="F26" s="25" t="n">
        <v>-23.8</v>
      </c>
    </row>
    <row r="27">
      <c r="A27" s="3" t="inlineStr">
        <is>
          <t>Net Investment Purchase And Sale</t>
        </is>
      </c>
      <c r="C27" s="25" t="n">
        <v>-31.2</v>
      </c>
      <c r="D27" s="25" t="n">
        <v>-36.3</v>
      </c>
      <c r="E27" s="25" t="n">
        <v>-14.2</v>
      </c>
      <c r="F27" s="25" t="n">
        <v>778.5</v>
      </c>
    </row>
    <row r="28">
      <c r="A28" s="3" t="inlineStr">
        <is>
          <t>Sale Of Investment</t>
        </is>
      </c>
      <c r="C28" s="25" t="n">
        <v>1.5</v>
      </c>
      <c r="D28" s="25" t="n">
        <v>5</v>
      </c>
      <c r="E28" s="25" t="n">
        <v>56.6</v>
      </c>
      <c r="F28" s="25" t="n">
        <v>882</v>
      </c>
    </row>
    <row r="29">
      <c r="A29" s="3" t="inlineStr">
        <is>
          <t>Purchase Of Investment</t>
        </is>
      </c>
      <c r="C29" s="25" t="n">
        <v>-32.7</v>
      </c>
      <c r="D29" s="25" t="n">
        <v>-41.3</v>
      </c>
      <c r="E29" s="25" t="n">
        <v>-70.8</v>
      </c>
      <c r="F29" s="25" t="n">
        <v>-103.5</v>
      </c>
    </row>
    <row r="30">
      <c r="A30" s="3" t="inlineStr">
        <is>
          <t>Net Business Purchase And Sale</t>
        </is>
      </c>
      <c r="C30" s="25" t="n">
        <v>0</v>
      </c>
      <c r="D30" s="25" t="n">
        <v>-316.2</v>
      </c>
      <c r="E30" s="25" t="n">
        <v>-1390.5</v>
      </c>
      <c r="F30" s="25" t="n">
        <v>-2124.2</v>
      </c>
    </row>
    <row r="31">
      <c r="A31" s="3" t="inlineStr">
        <is>
          <t>Sale Of Business</t>
        </is>
      </c>
      <c r="C31" s="25" t="n">
        <v>0</v>
      </c>
      <c r="D31" s="25" t="n">
        <v>0</v>
      </c>
      <c r="E31" s="25" t="n">
        <v>127.3</v>
      </c>
      <c r="F31" s="25" t="n">
        <v>0</v>
      </c>
    </row>
    <row r="32">
      <c r="A32" s="3" t="inlineStr">
        <is>
          <t>Purchase Of Business</t>
        </is>
      </c>
      <c r="C32" s="25" t="n">
        <v>0</v>
      </c>
      <c r="D32" s="25" t="n">
        <v>-316.2</v>
      </c>
      <c r="E32" s="25" t="n">
        <v>-1517.8</v>
      </c>
      <c r="F32" s="25" t="n">
        <v>-2124.2</v>
      </c>
    </row>
    <row r="33">
      <c r="A33" s="3" t="inlineStr">
        <is>
          <t>Net PPE Purchase And Sale</t>
        </is>
      </c>
      <c r="C33" s="25" t="n">
        <v>-1067.3</v>
      </c>
      <c r="D33" s="25" t="n">
        <v>-1052.7</v>
      </c>
      <c r="E33" s="25" t="n">
        <v>-1180.7</v>
      </c>
      <c r="F33" s="25" t="n">
        <v>-1396.3</v>
      </c>
    </row>
    <row r="34">
      <c r="A34" s="3" t="inlineStr">
        <is>
          <t>Sale Of PPE</t>
        </is>
      </c>
      <c r="C34" s="25" t="n">
        <v>2</v>
      </c>
      <c r="D34" s="25" t="n">
        <v>2</v>
      </c>
      <c r="E34" s="25" t="n">
        <v>2.7</v>
      </c>
      <c r="F34" s="25" t="n">
        <v>2.2</v>
      </c>
    </row>
    <row r="35">
      <c r="A35" s="3" t="inlineStr">
        <is>
          <t>Purchase Of PPE</t>
        </is>
      </c>
      <c r="C35" s="25" t="n">
        <v>-1069.3</v>
      </c>
      <c r="D35" s="25" t="n">
        <v>-1054.7</v>
      </c>
      <c r="E35" s="25" t="n">
        <v>-1183.4</v>
      </c>
      <c r="F35" s="25" t="n">
        <v>-1398.5</v>
      </c>
    </row>
    <row r="36">
      <c r="A36" s="3" t="inlineStr">
        <is>
          <t>Capital Expenditure Reported</t>
        </is>
      </c>
      <c r="B36" s="25" t="n">
        <v>28.7</v>
      </c>
      <c r="C36" s="25" t="n">
        <v>26.3</v>
      </c>
    </row>
    <row r="37">
      <c r="A37" s="3" t="inlineStr">
        <is>
          <t>Operating Cash Flow</t>
        </is>
      </c>
      <c r="C37" s="25" t="n">
        <v>1379.2</v>
      </c>
      <c r="D37" s="25" t="n">
        <v>1192.8</v>
      </c>
      <c r="E37" s="25" t="n">
        <v>1607</v>
      </c>
      <c r="F37" s="25" t="n">
        <v>3772.2</v>
      </c>
    </row>
    <row r="38">
      <c r="A38" s="3" t="inlineStr">
        <is>
          <t>Cash Flow From Continuing Operating Activities</t>
        </is>
      </c>
      <c r="C38" s="25" t="n">
        <v>1379.2</v>
      </c>
      <c r="D38" s="25" t="n">
        <v>1192.8</v>
      </c>
      <c r="E38" s="25" t="n">
        <v>1607</v>
      </c>
      <c r="F38" s="25" t="n">
        <v>3772.2</v>
      </c>
    </row>
    <row r="39">
      <c r="A39" s="3" t="inlineStr">
        <is>
          <t>Taxes Refund Paid</t>
        </is>
      </c>
      <c r="C39" s="25" t="n">
        <v>-611.7</v>
      </c>
      <c r="D39" s="25" t="n">
        <v>-421.8</v>
      </c>
      <c r="E39" s="25" t="n">
        <v>-525.5</v>
      </c>
      <c r="F39" s="25" t="n">
        <v>-789.7</v>
      </c>
    </row>
    <row r="40">
      <c r="A40" s="3" t="inlineStr">
        <is>
          <t>Interest Received Cfo</t>
        </is>
      </c>
      <c r="C40" s="25" t="n">
        <v>12.1</v>
      </c>
      <c r="D40" s="25" t="n">
        <v>23.4</v>
      </c>
      <c r="E40" s="25" t="n">
        <v>17.4</v>
      </c>
      <c r="F40" s="25" t="n">
        <v>41.2</v>
      </c>
    </row>
    <row r="41">
      <c r="A41" s="3" t="inlineStr">
        <is>
          <t>Interest Paid Cfo</t>
        </is>
      </c>
      <c r="C41" s="25" t="n">
        <v>-97.2</v>
      </c>
      <c r="D41" s="25" t="n">
        <v>-104.8</v>
      </c>
      <c r="E41" s="25" t="n">
        <v>-130.4</v>
      </c>
      <c r="F41" s="25" t="n">
        <v>-159.9</v>
      </c>
    </row>
    <row r="42">
      <c r="A42" s="3" t="inlineStr">
        <is>
          <t>Dividend Paid Cfo</t>
        </is>
      </c>
      <c r="C42" s="25" t="n">
        <v>-335.6</v>
      </c>
      <c r="D42" s="25" t="n">
        <v>-382.8</v>
      </c>
      <c r="E42" s="25" t="n">
        <v>-379.2</v>
      </c>
      <c r="F42" s="25" t="n">
        <v>-761.9</v>
      </c>
    </row>
    <row r="43">
      <c r="A43" s="3" t="inlineStr">
        <is>
          <t>Change In Working Capital</t>
        </is>
      </c>
      <c r="C43" s="25" t="n">
        <v>-134.2</v>
      </c>
      <c r="D43" s="25" t="n">
        <v>-199.1</v>
      </c>
      <c r="E43" s="25" t="n">
        <v>13.9</v>
      </c>
      <c r="F43" s="25" t="n">
        <v>187.4</v>
      </c>
    </row>
    <row r="44">
      <c r="A44" s="3" t="inlineStr">
        <is>
          <t>Change In Payables And Accrued Expense</t>
        </is>
      </c>
      <c r="C44" s="25" t="n">
        <v>22.4</v>
      </c>
      <c r="D44" s="25" t="n">
        <v>15.4</v>
      </c>
      <c r="E44" s="25" t="n">
        <v>95.40000000000001</v>
      </c>
      <c r="F44" s="25" t="n">
        <v>206.4</v>
      </c>
    </row>
    <row r="45">
      <c r="A45" s="3" t="inlineStr">
        <is>
          <t>Change In Payable</t>
        </is>
      </c>
      <c r="C45" s="25" t="n">
        <v>22.4</v>
      </c>
      <c r="D45" s="25" t="n">
        <v>15.4</v>
      </c>
      <c r="E45" s="25" t="n">
        <v>95.40000000000001</v>
      </c>
      <c r="F45" s="25" t="n">
        <v>206.4</v>
      </c>
    </row>
    <row r="46">
      <c r="A46" s="3" t="inlineStr">
        <is>
          <t>Change In Inventory</t>
        </is>
      </c>
      <c r="C46" s="25" t="n">
        <v>-195.1</v>
      </c>
      <c r="D46" s="25" t="n">
        <v>-153.1</v>
      </c>
      <c r="E46" s="25" t="n">
        <v>15.3</v>
      </c>
      <c r="F46" s="25" t="n">
        <v>42.6</v>
      </c>
    </row>
    <row r="47">
      <c r="A47" s="3" t="inlineStr">
        <is>
          <t>Change In Receivables</t>
        </is>
      </c>
      <c r="C47" s="25" t="n">
        <v>38.5</v>
      </c>
      <c r="D47" s="25" t="n">
        <v>-61.4</v>
      </c>
      <c r="E47" s="25" t="n">
        <v>-96.8</v>
      </c>
      <c r="F47" s="25" t="n">
        <v>-61.6</v>
      </c>
    </row>
    <row r="48">
      <c r="A48" s="3" t="inlineStr">
        <is>
          <t>Other Non Cash Items</t>
        </is>
      </c>
      <c r="C48" s="25" t="n">
        <v>20.1</v>
      </c>
      <c r="D48" s="25" t="n">
        <v>52.1</v>
      </c>
      <c r="E48" s="25" t="n">
        <v>-10.2</v>
      </c>
      <c r="F48" s="25" t="n">
        <v>117.9</v>
      </c>
    </row>
    <row r="49">
      <c r="A49" s="3" t="inlineStr">
        <is>
          <t>Stock Based Compensation</t>
        </is>
      </c>
      <c r="C49" s="25" t="n">
        <v>6.9</v>
      </c>
      <c r="D49" s="25" t="n">
        <v>9.1</v>
      </c>
      <c r="E49" s="25" t="n">
        <v>4.4</v>
      </c>
      <c r="F49" s="25" t="n">
        <v>25.4</v>
      </c>
    </row>
    <row r="50">
      <c r="A50" s="3" t="inlineStr">
        <is>
          <t>Provisionand Write Offof Assets</t>
        </is>
      </c>
      <c r="E50" s="25" t="n">
        <v>-0.3</v>
      </c>
      <c r="F50" s="25" t="n">
        <v>66.7</v>
      </c>
    </row>
    <row r="51">
      <c r="A51" s="3" t="inlineStr">
        <is>
          <t>Asset Impairment Charge</t>
        </is>
      </c>
      <c r="C51" s="25" t="n">
        <v>505</v>
      </c>
      <c r="D51" s="25" t="n">
        <v>156.4</v>
      </c>
      <c r="E51" s="25" t="n">
        <v>3.5</v>
      </c>
      <c r="F51" s="25" t="n">
        <v>-281.3</v>
      </c>
    </row>
    <row r="52">
      <c r="A52" s="3" t="inlineStr">
        <is>
          <t>Deferred Tax</t>
        </is>
      </c>
      <c r="C52" s="25" t="n">
        <v>442.1</v>
      </c>
      <c r="D52" s="25" t="n">
        <v>465.1</v>
      </c>
      <c r="E52" s="25" t="n">
        <v>697.1</v>
      </c>
      <c r="F52" s="25" t="n">
        <v>1649.2</v>
      </c>
    </row>
    <row r="53">
      <c r="A53" s="3" t="inlineStr">
        <is>
          <t>Deferred Income Tax</t>
        </is>
      </c>
      <c r="C53" s="25" t="n">
        <v>442.1</v>
      </c>
      <c r="D53" s="25" t="n">
        <v>465.1</v>
      </c>
      <c r="E53" s="25" t="n">
        <v>697.1</v>
      </c>
      <c r="F53" s="25" t="n">
        <v>1649.2</v>
      </c>
    </row>
    <row r="54">
      <c r="A54" s="3" t="inlineStr">
        <is>
          <t>Depreciation Amortization Depletion</t>
        </is>
      </c>
      <c r="C54" s="25" t="n">
        <v>844.3</v>
      </c>
      <c r="D54" s="25" t="n">
        <v>795.3</v>
      </c>
      <c r="E54" s="25" t="n">
        <v>627.4</v>
      </c>
      <c r="F54" s="25" t="n">
        <v>920.4</v>
      </c>
    </row>
    <row r="55">
      <c r="A55" s="3" t="inlineStr">
        <is>
          <t>Depreciation And Amortization</t>
        </is>
      </c>
      <c r="C55" s="25" t="n">
        <v>844.3</v>
      </c>
      <c r="D55" s="25" t="n">
        <v>795.3</v>
      </c>
      <c r="E55" s="25" t="n">
        <v>627.4</v>
      </c>
      <c r="F55" s="25" t="n">
        <v>920.4</v>
      </c>
    </row>
    <row r="56">
      <c r="A56" s="3" t="inlineStr">
        <is>
          <t>Operating Gains Losses</t>
        </is>
      </c>
      <c r="C56" s="25" t="n">
        <v>18.7</v>
      </c>
      <c r="D56" s="25" t="n">
        <v>54.7</v>
      </c>
      <c r="E56" s="25" t="n">
        <v>-1.9</v>
      </c>
      <c r="F56" s="25" t="n">
        <v>-821.9</v>
      </c>
    </row>
    <row r="57">
      <c r="A57" s="3" t="inlineStr">
        <is>
          <t>Pension And Employee Benefit Expense</t>
        </is>
      </c>
      <c r="C57" s="25" t="n">
        <v>29</v>
      </c>
      <c r="D57" s="25" t="n">
        <v>55.8</v>
      </c>
      <c r="E57" s="25" t="n">
        <v>14.5</v>
      </c>
      <c r="F57" s="25" t="n">
        <v>43.2</v>
      </c>
    </row>
    <row r="58">
      <c r="A58" s="3" t="inlineStr">
        <is>
          <t>Earnings Losses From Equity Investments</t>
        </is>
      </c>
      <c r="C58" s="25" t="n">
        <v>1.9</v>
      </c>
      <c r="D58" s="25" t="n">
        <v>31.3</v>
      </c>
      <c r="E58" s="25" t="n">
        <v>52.1</v>
      </c>
      <c r="F58" s="25" t="n">
        <v>2.3</v>
      </c>
    </row>
    <row r="59">
      <c r="A59" s="3" t="inlineStr">
        <is>
          <t>Gain Loss On Investment Securities</t>
        </is>
      </c>
      <c r="B59" s="25" t="n">
        <v>57</v>
      </c>
      <c r="C59" s="25" t="n">
        <v>-1.8</v>
      </c>
      <c r="F59" s="25" t="n">
        <v>-58.1</v>
      </c>
    </row>
    <row r="60">
      <c r="A60" s="3" t="inlineStr">
        <is>
          <t>Gain Loss On Sale Of Business</t>
        </is>
      </c>
      <c r="B60" s="25" t="n">
        <v>0</v>
      </c>
      <c r="D60" s="25" t="n">
        <v>0</v>
      </c>
      <c r="E60" s="25" t="n">
        <v>0</v>
      </c>
      <c r="F60" s="25" t="n">
        <v>-808.2</v>
      </c>
    </row>
    <row r="61">
      <c r="A61" s="3" t="inlineStr">
        <is>
          <t>Net Income From Continuing Operations</t>
        </is>
      </c>
      <c r="C61" s="25" t="n">
        <v>708.7</v>
      </c>
      <c r="D61" s="25" t="n">
        <v>745.2</v>
      </c>
      <c r="E61" s="25" t="n">
        <v>1290.5</v>
      </c>
      <c r="F61" s="25" t="n">
        <v>3645.4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2026-10-13T10:02:55Z</dcterms:created>
  <dcterms:modified xmlns:dcterms="http://purl.org/dc/terms/" xmlns:xsi="http://www.w3.org/2001/XMLSchema-instance" xsi:type="dcterms:W3CDTF">2026-10-13T10:02:55Z</dcterms:modified>
</cp:coreProperties>
</file>